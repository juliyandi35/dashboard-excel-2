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130"/>
  <workbookPr hidePivotFieldList="1" defaultThemeVersion="124226"/>
  <mc:AlternateContent xmlns:mc="http://schemas.openxmlformats.org/markup-compatibility/2006">
    <mc:Choice Requires="x15">
      <x15ac:absPath xmlns:x15ac="http://schemas.microsoft.com/office/spreadsheetml/2010/11/ac" url="C:\Users\JULI YANDI RAHMAN\Downloads\Kerjaan\Training Dashboard DL Rabu jam 9\"/>
    </mc:Choice>
  </mc:AlternateContent>
  <xr:revisionPtr revIDLastSave="0" documentId="13_ncr:1_{D3A9C786-C175-4572-8A24-710D7E1B6BC4}" xr6:coauthVersionLast="47" xr6:coauthVersionMax="47" xr10:uidLastSave="{00000000-0000-0000-0000-000000000000}"/>
  <bookViews>
    <workbookView xWindow="-110" yWindow="-110" windowWidth="19420" windowHeight="10300" activeTab="3" xr2:uid="{00000000-000D-0000-FFFF-FFFF00000000}"/>
  </bookViews>
  <sheets>
    <sheet name="Athlete's names" sheetId="2" r:id="rId1"/>
    <sheet name="Input" sheetId="3" r:id="rId2"/>
    <sheet name="Load, Monotony, and Strain" sheetId="1" r:id="rId3"/>
    <sheet name="Dashboard" sheetId="5" r:id="rId4"/>
  </sheets>
  <definedNames>
    <definedName name="_xlnm._FilterDatabase" localSheetId="1" hidden="1">Input!$A$1:$K$11</definedName>
    <definedName name="Slicer_Athlete_s_names">#N/A</definedName>
    <definedName name="Slicer_Days">#N/A</definedName>
  </definedNames>
  <calcPr calcId="191029"/>
  <pivotCaches>
    <pivotCache cacheId="21" r:id="rId5"/>
    <pivotCache cacheId="30" r:id="rId6"/>
    <pivotCache cacheId="33" r:id="rId7"/>
  </pivotCaches>
  <extLst>
    <ext xmlns:x14="http://schemas.microsoft.com/office/spreadsheetml/2009/9/main" uri="{BBE1A952-AA13-448e-AADC-164F8A28A991}">
      <x14:slicerCaches>
        <x14:slicerCache r:id="rId8"/>
        <x14:slicerCache r:id="rId9"/>
      </x14:slicerCaches>
    </ext>
    <ext xmlns:x14="http://schemas.microsoft.com/office/spreadsheetml/2009/9/main" uri="{79F54976-1DA5-4618-B147-4CDE4B953A38}">
      <x14:workbookPr/>
    </ext>
  </extLst>
</workbook>
</file>

<file path=xl/calcChain.xml><?xml version="1.0" encoding="utf-8"?>
<calcChain xmlns="http://schemas.openxmlformats.org/spreadsheetml/2006/main">
  <c r="D98" i="1" l="1"/>
  <c r="D99" i="1"/>
  <c r="D100" i="1"/>
  <c r="D101" i="1"/>
  <c r="D102" i="1"/>
  <c r="D103" i="1"/>
  <c r="D104" i="1"/>
  <c r="D105" i="1"/>
  <c r="D106" i="1"/>
  <c r="D107" i="1"/>
  <c r="D97" i="1"/>
  <c r="C98" i="1"/>
  <c r="C99" i="1"/>
  <c r="C100" i="1"/>
  <c r="C101" i="1"/>
  <c r="C102" i="1"/>
  <c r="C103" i="1"/>
  <c r="C104" i="1"/>
  <c r="C105" i="1"/>
  <c r="C106" i="1"/>
  <c r="C107" i="1"/>
  <c r="C97" i="1"/>
  <c r="B98" i="1"/>
  <c r="B99" i="1"/>
  <c r="B100" i="1"/>
  <c r="B101" i="1"/>
  <c r="B102" i="1"/>
  <c r="B103" i="1"/>
  <c r="B104" i="1"/>
  <c r="B105" i="1"/>
  <c r="B106" i="1"/>
  <c r="B107" i="1"/>
  <c r="B97" i="1"/>
  <c r="K3" i="3"/>
  <c r="K5" i="3"/>
  <c r="K8" i="3"/>
  <c r="K10" i="3"/>
  <c r="K27" i="3"/>
  <c r="K28" i="3"/>
  <c r="K31" i="3"/>
  <c r="K35" i="3"/>
  <c r="K43" i="3"/>
  <c r="K49" i="3"/>
  <c r="K50" i="3"/>
  <c r="K53" i="3"/>
  <c r="K54" i="3"/>
  <c r="K57" i="3"/>
  <c r="K58" i="3"/>
  <c r="K59" i="3"/>
  <c r="K63" i="3"/>
  <c r="K66" i="3"/>
  <c r="K67" i="3"/>
  <c r="K68" i="3"/>
  <c r="K71" i="3"/>
  <c r="K2" i="3"/>
  <c r="J3" i="3"/>
  <c r="J4" i="3"/>
  <c r="J5" i="3"/>
  <c r="J6" i="3"/>
  <c r="J7" i="3"/>
  <c r="J8" i="3"/>
  <c r="J9" i="3"/>
  <c r="J10" i="3"/>
  <c r="J11" i="3"/>
  <c r="J12" i="3"/>
  <c r="J13" i="3"/>
  <c r="J14" i="3"/>
  <c r="J15" i="3"/>
  <c r="K15" i="3" s="1"/>
  <c r="J16" i="3"/>
  <c r="J17" i="3"/>
  <c r="K17" i="3" s="1"/>
  <c r="J18" i="3"/>
  <c r="K18" i="3" s="1"/>
  <c r="J19" i="3"/>
  <c r="J20" i="3"/>
  <c r="J21" i="3"/>
  <c r="J22" i="3"/>
  <c r="K22" i="3" s="1"/>
  <c r="J23" i="3"/>
  <c r="K23" i="3" s="1"/>
  <c r="J24" i="3"/>
  <c r="J25" i="3"/>
  <c r="J26" i="3"/>
  <c r="J27" i="3"/>
  <c r="J28" i="3"/>
  <c r="J29" i="3"/>
  <c r="J30" i="3"/>
  <c r="J31" i="3"/>
  <c r="J32" i="3"/>
  <c r="J33" i="3"/>
  <c r="J34" i="3"/>
  <c r="J35" i="3"/>
  <c r="J36" i="3"/>
  <c r="K36" i="3" s="1"/>
  <c r="J37" i="3"/>
  <c r="K37" i="3" s="1"/>
  <c r="J38" i="3"/>
  <c r="J39" i="3"/>
  <c r="J40" i="3"/>
  <c r="J41" i="3"/>
  <c r="J42" i="3"/>
  <c r="J43" i="3"/>
  <c r="J44" i="3"/>
  <c r="J45" i="3"/>
  <c r="J46" i="3"/>
  <c r="J47" i="3"/>
  <c r="J48" i="3"/>
  <c r="J49" i="3"/>
  <c r="J50" i="3"/>
  <c r="J51" i="3"/>
  <c r="J52" i="3"/>
  <c r="J53" i="3"/>
  <c r="J54" i="3"/>
  <c r="J55" i="3"/>
  <c r="J56" i="3"/>
  <c r="J57" i="3"/>
  <c r="J58" i="3"/>
  <c r="J59" i="3"/>
  <c r="J60" i="3"/>
  <c r="J61" i="3"/>
  <c r="J62" i="3"/>
  <c r="J63" i="3"/>
  <c r="J64" i="3"/>
  <c r="J65" i="3"/>
  <c r="J66" i="3"/>
  <c r="J67" i="3"/>
  <c r="J68" i="3"/>
  <c r="J69" i="3"/>
  <c r="J70" i="3"/>
  <c r="J71" i="3"/>
  <c r="J2" i="3"/>
  <c r="F15" i="3"/>
  <c r="F16" i="3"/>
  <c r="F17" i="3"/>
  <c r="F18" i="3"/>
  <c r="F19" i="3"/>
  <c r="K19" i="3" s="1"/>
  <c r="F20" i="3"/>
  <c r="K20" i="3" s="1"/>
  <c r="F21" i="3"/>
  <c r="K21" i="3" s="1"/>
  <c r="F22" i="3"/>
  <c r="F23" i="3"/>
  <c r="F24" i="3"/>
  <c r="F25" i="3"/>
  <c r="F26" i="3"/>
  <c r="F27" i="3"/>
  <c r="F28" i="3"/>
  <c r="F29" i="3"/>
  <c r="K29" i="3" s="1"/>
  <c r="F30" i="3"/>
  <c r="K30" i="3" s="1"/>
  <c r="F31" i="3"/>
  <c r="F32" i="3"/>
  <c r="F33" i="3"/>
  <c r="F34" i="3"/>
  <c r="F35" i="3"/>
  <c r="F36" i="3"/>
  <c r="F37" i="3"/>
  <c r="F38" i="3"/>
  <c r="K38" i="3" s="1"/>
  <c r="F39" i="3"/>
  <c r="K39" i="3" s="1"/>
  <c r="F40" i="3"/>
  <c r="K40" i="3" s="1"/>
  <c r="F41" i="3"/>
  <c r="K41" i="3" s="1"/>
  <c r="F42" i="3"/>
  <c r="K42" i="3" s="1"/>
  <c r="F43" i="3"/>
  <c r="F44" i="3"/>
  <c r="K44" i="3" s="1"/>
  <c r="F45" i="3"/>
  <c r="K45" i="3" s="1"/>
  <c r="F46" i="3"/>
  <c r="K46" i="3" s="1"/>
  <c r="F47" i="3"/>
  <c r="K47" i="3" s="1"/>
  <c r="F48" i="3"/>
  <c r="K48" i="3" s="1"/>
  <c r="F49" i="3"/>
  <c r="F50" i="3"/>
  <c r="F51" i="3"/>
  <c r="K51" i="3" s="1"/>
  <c r="F52" i="3"/>
  <c r="K52" i="3" s="1"/>
  <c r="F53" i="3"/>
  <c r="F54" i="3"/>
  <c r="F55" i="3"/>
  <c r="K55" i="3" s="1"/>
  <c r="F56" i="3"/>
  <c r="K56" i="3" s="1"/>
  <c r="F57" i="3"/>
  <c r="F58" i="3"/>
  <c r="F59" i="3"/>
  <c r="F60" i="3"/>
  <c r="K60" i="3" s="1"/>
  <c r="F61" i="3"/>
  <c r="K61" i="3" s="1"/>
  <c r="F62" i="3"/>
  <c r="K62" i="3" s="1"/>
  <c r="F63" i="3"/>
  <c r="F64" i="3"/>
  <c r="K64" i="3" s="1"/>
  <c r="F65" i="3"/>
  <c r="K65" i="3" s="1"/>
  <c r="F66" i="3"/>
  <c r="F67" i="3"/>
  <c r="F68" i="3"/>
  <c r="F69" i="3"/>
  <c r="K69" i="3" s="1"/>
  <c r="F70" i="3"/>
  <c r="K70" i="3" s="1"/>
  <c r="F71" i="3"/>
  <c r="F3" i="3"/>
  <c r="F4" i="3"/>
  <c r="K4" i="3" s="1"/>
  <c r="F5" i="3"/>
  <c r="F6" i="3"/>
  <c r="K6" i="3" s="1"/>
  <c r="F7" i="3"/>
  <c r="K7" i="3" s="1"/>
  <c r="F8" i="3"/>
  <c r="F9" i="3"/>
  <c r="K9" i="3" s="1"/>
  <c r="F10" i="3"/>
  <c r="F11" i="3"/>
  <c r="K11" i="3" s="1"/>
  <c r="F12" i="3"/>
  <c r="F13" i="3"/>
  <c r="F14" i="3"/>
  <c r="F2" i="3"/>
  <c r="E74" i="1"/>
  <c r="G74" i="1" s="1"/>
  <c r="E73" i="1"/>
  <c r="G72" i="1"/>
  <c r="E72" i="1"/>
  <c r="E71" i="1"/>
  <c r="E70" i="1"/>
  <c r="G70" i="1" s="1"/>
  <c r="E69" i="1"/>
  <c r="G68" i="1"/>
  <c r="E68" i="1"/>
  <c r="E67" i="1"/>
  <c r="E66" i="1"/>
  <c r="G66" i="1" s="1"/>
  <c r="E65" i="1"/>
  <c r="E64" i="1"/>
  <c r="G64" i="1" s="1"/>
  <c r="E63" i="1"/>
  <c r="E62" i="1"/>
  <c r="G62" i="1" s="1"/>
  <c r="B54" i="1"/>
  <c r="E24" i="1"/>
  <c r="G24" i="1" s="1"/>
  <c r="E23" i="1"/>
  <c r="E22" i="1"/>
  <c r="G22" i="1" s="1"/>
  <c r="E21" i="1"/>
  <c r="E20" i="1"/>
  <c r="G20" i="1" s="1"/>
  <c r="E19" i="1"/>
  <c r="G18" i="1" s="1"/>
  <c r="E18" i="1"/>
  <c r="E17" i="1"/>
  <c r="E16" i="1"/>
  <c r="G16" i="1" s="1"/>
  <c r="E15" i="1"/>
  <c r="E14" i="1"/>
  <c r="G14" i="1" s="1"/>
  <c r="E13" i="1"/>
  <c r="E12" i="1"/>
  <c r="G12" i="1" s="1"/>
  <c r="F107" i="1"/>
  <c r="F106" i="1"/>
  <c r="F105" i="1"/>
  <c r="F104" i="1"/>
  <c r="F103" i="1"/>
  <c r="F102" i="1"/>
  <c r="F101" i="1"/>
  <c r="F100" i="1"/>
  <c r="F99" i="1"/>
  <c r="F98" i="1"/>
  <c r="F97" i="1"/>
  <c r="E98" i="1"/>
  <c r="E99" i="1"/>
  <c r="E100" i="1"/>
  <c r="E105" i="1"/>
  <c r="E107" i="1"/>
  <c r="E101" i="1"/>
  <c r="E102" i="1"/>
  <c r="E103" i="1"/>
  <c r="E104" i="1"/>
  <c r="E106" i="1"/>
  <c r="E97" i="1"/>
  <c r="K34" i="3" l="1"/>
  <c r="K14" i="3"/>
  <c r="K13" i="3"/>
  <c r="K26" i="3"/>
  <c r="K12" i="3"/>
  <c r="K33" i="3"/>
  <c r="K25" i="3"/>
  <c r="K32" i="3"/>
  <c r="K24" i="3"/>
  <c r="K16" i="3"/>
  <c r="B52" i="1"/>
  <c r="G35" i="1"/>
  <c r="G26" i="1"/>
  <c r="G76" i="1"/>
  <c r="G34" i="1" l="1"/>
  <c r="G37" i="1" s="1"/>
  <c r="B53" i="1"/>
  <c r="G46" i="1"/>
</calcChain>
</file>

<file path=xl/sharedStrings.xml><?xml version="1.0" encoding="utf-8"?>
<sst xmlns="http://schemas.openxmlformats.org/spreadsheetml/2006/main" count="502" uniqueCount="100">
  <si>
    <t xml:space="preserve">Calculation of Training Load, Monotony, and Strain </t>
  </si>
  <si>
    <t>Foster, C. (1998). Monitoring training in athletes with reference to overtraining syndrome. Medicine and Science in Sports and Exercise, 30(7), 1164-1168.</t>
  </si>
  <si>
    <t>1. Training Load</t>
  </si>
  <si>
    <t>Training volume x intensiy</t>
  </si>
  <si>
    <t xml:space="preserve">Multiply session RPE by  session length (minutes) = Training Load </t>
  </si>
  <si>
    <t>Individual players rate a session from 1(very, very easy, 5 = hard) to 10 (Maximal).</t>
  </si>
  <si>
    <t>Day</t>
  </si>
  <si>
    <t>Session</t>
  </si>
  <si>
    <t>RPE</t>
  </si>
  <si>
    <t>Duration</t>
  </si>
  <si>
    <t>Load</t>
  </si>
  <si>
    <t>Daily Load</t>
  </si>
  <si>
    <t>Mon</t>
  </si>
  <si>
    <t>Str 1</t>
  </si>
  <si>
    <t>Cond/Skill</t>
  </si>
  <si>
    <t>Tues</t>
  </si>
  <si>
    <t>Str 2</t>
  </si>
  <si>
    <t>Skill/Tact</t>
  </si>
  <si>
    <t>Wed</t>
  </si>
  <si>
    <t>Rec</t>
  </si>
  <si>
    <t>off</t>
  </si>
  <si>
    <t>Thur</t>
  </si>
  <si>
    <t>Str 3</t>
  </si>
  <si>
    <t>Spd/skill</t>
  </si>
  <si>
    <t>Fri</t>
  </si>
  <si>
    <t xml:space="preserve">Cond  </t>
  </si>
  <si>
    <t>Sat</t>
  </si>
  <si>
    <t>Tact</t>
  </si>
  <si>
    <t>Sun</t>
  </si>
  <si>
    <t>Weekly Load Total</t>
  </si>
  <si>
    <t>2. Training Monotony</t>
  </si>
  <si>
    <t>Measures the daily variation in training load</t>
  </si>
  <si>
    <t>Mean daily training load (measured across a week) / standard deviation</t>
  </si>
  <si>
    <t xml:space="preserve">Mean daily training load </t>
  </si>
  <si>
    <t>Standard deviation</t>
  </si>
  <si>
    <t>Monotony = av. weekly TL / SD</t>
  </si>
  <si>
    <t xml:space="preserve">3. Training Strain </t>
  </si>
  <si>
    <t>Product of load and monotony</t>
  </si>
  <si>
    <t>Monitorins overtraining</t>
  </si>
  <si>
    <t>Strain = Weekly training load x Monotony</t>
  </si>
  <si>
    <t>4. Taper Load</t>
  </si>
  <si>
    <t>Day 1</t>
  </si>
  <si>
    <t>Day 2</t>
  </si>
  <si>
    <t>Day 3</t>
  </si>
  <si>
    <t>Day 4</t>
  </si>
  <si>
    <t>Day 5</t>
  </si>
  <si>
    <t>Day 6</t>
  </si>
  <si>
    <t>Day 7</t>
  </si>
  <si>
    <t>Curent TL</t>
  </si>
  <si>
    <t>Taper (40%)</t>
  </si>
  <si>
    <t>Actual</t>
  </si>
  <si>
    <t>5. Taper Load Training</t>
  </si>
  <si>
    <t>Athlete's names</t>
  </si>
  <si>
    <t>B</t>
  </si>
  <si>
    <t>A</t>
  </si>
  <si>
    <t>C</t>
  </si>
  <si>
    <t>D</t>
  </si>
  <si>
    <t>E</t>
  </si>
  <si>
    <t>F</t>
  </si>
  <si>
    <t>G</t>
  </si>
  <si>
    <t>H</t>
  </si>
  <si>
    <t>I</t>
  </si>
  <si>
    <t>J</t>
  </si>
  <si>
    <t>Row Labels</t>
  </si>
  <si>
    <t>Grand Total</t>
  </si>
  <si>
    <t>Days</t>
  </si>
  <si>
    <t xml:space="preserve">RPE </t>
  </si>
  <si>
    <t>Session II</t>
  </si>
  <si>
    <t>Duration2</t>
  </si>
  <si>
    <t>Load2</t>
  </si>
  <si>
    <t>Sunday</t>
  </si>
  <si>
    <t>Monday</t>
  </si>
  <si>
    <t>Tuesday</t>
  </si>
  <si>
    <t>Wednesday</t>
  </si>
  <si>
    <t>Thursday</t>
  </si>
  <si>
    <t>Friday</t>
  </si>
  <si>
    <t>Saturday</t>
  </si>
  <si>
    <t>Srt 1</t>
  </si>
  <si>
    <t>Srt 2</t>
  </si>
  <si>
    <t>Off</t>
  </si>
  <si>
    <t>Sum of RPE</t>
  </si>
  <si>
    <t>Sum of Daily Load</t>
  </si>
  <si>
    <t xml:space="preserve">Sum of RPE </t>
  </si>
  <si>
    <t>Column Labels</t>
  </si>
  <si>
    <t>(All)</t>
  </si>
  <si>
    <t>RPE2</t>
  </si>
  <si>
    <t>Average Daily Load</t>
  </si>
  <si>
    <t>Sum of RPE2</t>
  </si>
  <si>
    <t>Athlete's Names</t>
  </si>
  <si>
    <t>NOTED :</t>
  </si>
  <si>
    <t>Mean of Daily Training</t>
  </si>
  <si>
    <t xml:space="preserve">STDeviation </t>
  </si>
  <si>
    <t>Monotomy</t>
  </si>
  <si>
    <t>Strain</t>
  </si>
  <si>
    <t>Sum of Mean of Daily Training</t>
  </si>
  <si>
    <t xml:space="preserve">Sum of STDeviation </t>
  </si>
  <si>
    <t>Sum of Monotomy</t>
  </si>
  <si>
    <t>Total</t>
  </si>
  <si>
    <t>Sum of Grand Total</t>
  </si>
  <si>
    <t>Sum of Strain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</si>
</sst>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6" x14ac:knownFonts="1">
    <font>
      <sz val="11"/>
      <color theme="1"/>
      <name val="Calibri"/>
      <family val="2"/>
      <scheme val="minor"/>
    </font>
    <font>
      <b/>
      <i/>
      <sz val="16"/>
      <name val="Arial"/>
      <family val="2"/>
    </font>
    <font>
      <sz val="8"/>
      <color theme="1"/>
      <name val="Calibri"/>
      <family val="2"/>
      <scheme val="minor"/>
    </font>
    <font>
      <b/>
      <u/>
      <sz val="12"/>
      <color theme="1"/>
      <name val="Calibri"/>
      <family val="2"/>
      <scheme val="minor"/>
    </font>
    <font>
      <b/>
      <sz val="12"/>
      <color theme="1"/>
      <name val="Calibri"/>
      <family val="2"/>
      <scheme val="minor"/>
    </font>
    <font>
      <b/>
      <sz val="14"/>
      <color theme="1"/>
      <name val="Calibri"/>
      <family val="2"/>
      <scheme val="minor"/>
    </font>
    <font>
      <b/>
      <sz val="11"/>
      <color theme="1"/>
      <name val="Calibri"/>
      <family val="2"/>
      <scheme val="minor"/>
    </font>
    <font>
      <b/>
      <u/>
      <sz val="11"/>
      <color theme="1"/>
      <name val="Calibri"/>
      <family val="2"/>
      <scheme val="minor"/>
    </font>
    <font>
      <sz val="11"/>
      <color theme="1"/>
      <name val="Calibri"/>
      <family val="2"/>
      <charset val="1"/>
      <scheme val="minor"/>
    </font>
    <font>
      <sz val="11"/>
      <color theme="1"/>
      <name val="Times New Roman"/>
      <family val="1"/>
    </font>
    <font>
      <sz val="12"/>
      <color theme="1"/>
      <name val="Times New Roman"/>
      <family val="1"/>
    </font>
    <font>
      <b/>
      <i/>
      <sz val="12"/>
      <name val="Times New Roman"/>
      <family val="1"/>
    </font>
    <font>
      <b/>
      <u/>
      <sz val="12"/>
      <color theme="1"/>
      <name val="Times New Roman"/>
      <family val="1"/>
    </font>
    <font>
      <b/>
      <u/>
      <sz val="11"/>
      <color theme="1"/>
      <name val="Times New Roman"/>
      <family val="1"/>
    </font>
    <font>
      <b/>
      <i/>
      <sz val="20"/>
      <name val="Times New Roman"/>
      <family val="1"/>
    </font>
    <font>
      <sz val="8"/>
      <name val="Calibri"/>
      <family val="2"/>
      <scheme val="minor"/>
    </font>
  </fonts>
  <fills count="5">
    <fill>
      <patternFill patternType="none"/>
    </fill>
    <fill>
      <patternFill patternType="gray125"/>
    </fill>
    <fill>
      <patternFill patternType="solid">
        <fgColor rgb="FFFFFF00"/>
        <bgColor indexed="64"/>
      </patternFill>
    </fill>
    <fill>
      <patternFill patternType="solid">
        <fgColor theme="0"/>
        <bgColor indexed="64"/>
      </patternFill>
    </fill>
    <fill>
      <patternFill patternType="solid">
        <fgColor theme="3" tint="0.59999389629810485"/>
        <bgColor indexed="64"/>
      </patternFill>
    </fill>
  </fills>
  <borders count="5">
    <border>
      <left/>
      <right/>
      <top/>
      <bottom/>
      <diagonal/>
    </border>
    <border>
      <left/>
      <right/>
      <top style="thin">
        <color indexed="64"/>
      </top>
      <bottom style="thin">
        <color indexed="64"/>
      </bottom>
      <diagonal/>
    </border>
    <border>
      <left/>
      <right/>
      <top/>
      <bottom style="thin">
        <color indexed="64"/>
      </bottom>
      <diagonal/>
    </border>
    <border>
      <left style="medium">
        <color indexed="64"/>
      </left>
      <right style="medium">
        <color indexed="64"/>
      </right>
      <top style="medium">
        <color indexed="64"/>
      </top>
      <bottom style="medium">
        <color indexed="64"/>
      </bottom>
      <diagonal/>
    </border>
    <border>
      <left/>
      <right/>
      <top style="thin">
        <color indexed="64"/>
      </top>
      <bottom/>
      <diagonal/>
    </border>
  </borders>
  <cellStyleXfs count="2">
    <xf numFmtId="0" fontId="0" fillId="0" borderId="0"/>
    <xf numFmtId="0" fontId="8" fillId="0" borderId="0"/>
  </cellStyleXfs>
  <cellXfs count="39">
    <xf numFmtId="0" fontId="0" fillId="0" borderId="0" xfId="0"/>
    <xf numFmtId="0" fontId="1" fillId="0" borderId="0" xfId="0" applyFont="1" applyAlignment="1">
      <alignment horizontal="left" readingOrder="1"/>
    </xf>
    <xf numFmtId="0" fontId="3" fillId="0" borderId="0" xfId="0" applyFont="1"/>
    <xf numFmtId="0" fontId="0" fillId="0" borderId="1" xfId="0" applyBorder="1" applyAlignment="1">
      <alignment horizontal="center"/>
    </xf>
    <xf numFmtId="0" fontId="0" fillId="0" borderId="1" xfId="0" applyBorder="1"/>
    <xf numFmtId="0" fontId="0" fillId="0" borderId="0" xfId="0" applyAlignment="1">
      <alignment horizontal="center"/>
    </xf>
    <xf numFmtId="0" fontId="0" fillId="0" borderId="2" xfId="0" applyBorder="1" applyAlignment="1">
      <alignment horizontal="center"/>
    </xf>
    <xf numFmtId="0" fontId="0" fillId="0" borderId="2" xfId="0" applyBorder="1"/>
    <xf numFmtId="0" fontId="4" fillId="0" borderId="0" xfId="0" applyFont="1" applyAlignment="1">
      <alignment horizontal="left"/>
    </xf>
    <xf numFmtId="0" fontId="5" fillId="2" borderId="3" xfId="0" applyFont="1" applyFill="1" applyBorder="1" applyAlignment="1">
      <alignment horizontal="center"/>
    </xf>
    <xf numFmtId="0" fontId="0" fillId="0" borderId="4" xfId="0" applyBorder="1"/>
    <xf numFmtId="1" fontId="6" fillId="0" borderId="4" xfId="0" applyNumberFormat="1" applyFont="1" applyBorder="1" applyAlignment="1">
      <alignment horizontal="center"/>
    </xf>
    <xf numFmtId="1" fontId="6" fillId="0" borderId="0" xfId="0" applyNumberFormat="1" applyFont="1" applyAlignment="1">
      <alignment horizontal="center"/>
    </xf>
    <xf numFmtId="0" fontId="6" fillId="0" borderId="0" xfId="0" applyFont="1"/>
    <xf numFmtId="164" fontId="5" fillId="2" borderId="3" xfId="0" applyNumberFormat="1" applyFont="1" applyFill="1" applyBorder="1" applyAlignment="1">
      <alignment horizontal="center"/>
    </xf>
    <xf numFmtId="164" fontId="4" fillId="0" borderId="2" xfId="0" applyNumberFormat="1" applyFont="1" applyBorder="1" applyAlignment="1">
      <alignment horizontal="center"/>
    </xf>
    <xf numFmtId="0" fontId="7" fillId="0" borderId="0" xfId="0" applyFont="1"/>
    <xf numFmtId="1" fontId="5" fillId="2" borderId="3" xfId="0" applyNumberFormat="1" applyFont="1" applyFill="1" applyBorder="1" applyAlignment="1">
      <alignment horizontal="center"/>
    </xf>
    <xf numFmtId="0" fontId="2" fillId="0" borderId="0" xfId="0" applyFont="1" applyAlignment="1">
      <alignment horizontal="left" wrapText="1"/>
    </xf>
    <xf numFmtId="0" fontId="0" fillId="0" borderId="0" xfId="0" pivotButton="1"/>
    <xf numFmtId="0" fontId="0" fillId="0" borderId="0" xfId="0" applyAlignment="1">
      <alignment horizontal="left"/>
    </xf>
    <xf numFmtId="0" fontId="8" fillId="0" borderId="0" xfId="1" applyAlignment="1">
      <alignment horizontal="center" vertical="center"/>
    </xf>
    <xf numFmtId="0" fontId="0" fillId="0" borderId="0" xfId="0" applyNumberFormat="1"/>
    <xf numFmtId="0" fontId="14" fillId="3" borderId="0" xfId="1" applyFont="1" applyFill="1" applyAlignment="1">
      <alignment horizontal="center" vertical="center" readingOrder="1"/>
    </xf>
    <xf numFmtId="0" fontId="0" fillId="3" borderId="0" xfId="0" applyFill="1"/>
    <xf numFmtId="0" fontId="12" fillId="3" borderId="0" xfId="1" applyFont="1" applyFill="1"/>
    <xf numFmtId="0" fontId="9" fillId="3" borderId="0" xfId="1" applyFont="1" applyFill="1"/>
    <xf numFmtId="0" fontId="11" fillId="3" borderId="0" xfId="1" applyFont="1" applyFill="1" applyAlignment="1">
      <alignment horizontal="center" vertical="center" readingOrder="1"/>
    </xf>
    <xf numFmtId="0" fontId="8" fillId="3" borderId="0" xfId="1" applyFill="1"/>
    <xf numFmtId="0" fontId="0" fillId="3" borderId="0" xfId="0" applyFill="1" applyAlignment="1">
      <alignment horizontal="left"/>
    </xf>
    <xf numFmtId="0" fontId="0" fillId="3" borderId="0" xfId="0" applyNumberFormat="1" applyFill="1"/>
    <xf numFmtId="0" fontId="13" fillId="3" borderId="0" xfId="1" applyFont="1" applyFill="1"/>
    <xf numFmtId="0" fontId="9" fillId="3" borderId="4" xfId="1" applyFont="1" applyFill="1" applyBorder="1"/>
    <xf numFmtId="0" fontId="10" fillId="3" borderId="0" xfId="1" applyFont="1" applyFill="1"/>
    <xf numFmtId="0" fontId="0" fillId="4" borderId="0" xfId="0" applyFill="1" applyAlignment="1">
      <alignment horizontal="left"/>
    </xf>
    <xf numFmtId="0" fontId="0" fillId="4" borderId="0" xfId="0" applyNumberFormat="1" applyFill="1"/>
    <xf numFmtId="0" fontId="0" fillId="4" borderId="0" xfId="0" applyFill="1"/>
    <xf numFmtId="0" fontId="0" fillId="4" borderId="0" xfId="0" applyFill="1" applyBorder="1"/>
    <xf numFmtId="0" fontId="8" fillId="4" borderId="0" xfId="1" applyFill="1"/>
  </cellXfs>
  <cellStyles count="2">
    <cellStyle name="Normal" xfId="0" builtinId="0"/>
    <cellStyle name="Normal 2" xfId="1" xr:uid="{36E72E2C-5A7F-4F0F-8871-37B2F1CD9936}"/>
  </cellStyles>
  <dxfs count="40">
    <dxf>
      <fill>
        <patternFill>
          <bgColor theme="3" tint="0.59999389629810485"/>
        </patternFill>
      </fill>
    </dxf>
    <dxf>
      <fill>
        <patternFill>
          <bgColor theme="3" tint="0.59999389629810485"/>
        </patternFill>
      </fill>
    </dxf>
    <dxf>
      <fill>
        <patternFill>
          <bgColor theme="3" tint="0.59999389629810485"/>
        </patternFill>
      </fill>
    </dxf>
    <dxf>
      <fill>
        <patternFill>
          <bgColor theme="3" tint="0.59999389629810485"/>
        </patternFill>
      </fill>
    </dxf>
    <dxf>
      <fill>
        <patternFill>
          <bgColor theme="3" tint="0.59999389629810485"/>
        </patternFill>
      </fill>
    </dxf>
    <dxf>
      <fill>
        <patternFill>
          <bgColor theme="3" tint="0.59999389629810485"/>
        </patternFill>
      </fill>
    </dxf>
    <dxf>
      <fill>
        <patternFill>
          <bgColor theme="3" tint="0.59999389629810485"/>
        </patternFill>
      </fill>
    </dxf>
    <dxf>
      <fill>
        <patternFill>
          <bgColor theme="3" tint="0.59999389629810485"/>
        </patternFill>
      </fill>
    </dxf>
    <dxf>
      <fill>
        <patternFill>
          <bgColor theme="3" tint="0.59999389629810485"/>
        </patternFill>
      </fill>
    </dxf>
    <dxf>
      <fill>
        <patternFill>
          <bgColor theme="3" tint="0.59999389629810485"/>
        </patternFill>
      </fill>
    </dxf>
    <dxf>
      <fill>
        <patternFill>
          <bgColor theme="3" tint="0.59999389629810485"/>
        </patternFill>
      </fill>
    </dxf>
    <dxf>
      <fill>
        <patternFill>
          <bgColor theme="3" tint="0.59999389629810485"/>
        </patternFill>
      </fill>
    </dxf>
    <dxf>
      <fill>
        <patternFill>
          <bgColor rgb="FF00B0F0"/>
        </patternFill>
      </fill>
    </dxf>
    <dxf>
      <fill>
        <patternFill>
          <bgColor theme="3" tint="0.59999389629810485"/>
        </patternFill>
      </fill>
    </dxf>
    <dxf>
      <fill>
        <patternFill>
          <bgColor rgb="FF00B0F0"/>
        </patternFill>
      </fill>
    </dxf>
    <dxf>
      <fill>
        <patternFill>
          <bgColor theme="3" tint="0.59999389629810485"/>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pivotCacheDefinition" Target="pivotCache/pivotCacheDefinition3.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11" Type="http://schemas.openxmlformats.org/officeDocument/2006/relationships/styles" Target="styles.xml"/><Relationship Id="rId5" Type="http://schemas.openxmlformats.org/officeDocument/2006/relationships/pivotCacheDefinition" Target="pivotCache/pivotCacheDefinition1.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[training-load-monotony-strain.xlsx]Dashboard!PivotTable11</c:name>
    <c:fmtId val="0"/>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Group Daily Load</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2"/>
          <c:order val="2"/>
          <c:tx>
            <c:strRef>
              <c:f>Dashboard!$D$9</c:f>
              <c:strCache>
                <c:ptCount val="1"/>
                <c:pt idx="0">
                  <c:v>Average Daily Load</c:v>
                </c:pt>
              </c:strCache>
            </c:strRef>
          </c:tx>
          <c:spPr>
            <a:solidFill>
              <a:schemeClr val="accent3"/>
            </a:solidFill>
            <a:ln>
              <a:noFill/>
            </a:ln>
            <a:effectLst/>
          </c:spPr>
          <c:invertIfNegative val="0"/>
          <c:cat>
            <c:strRef>
              <c:f>Dashboard!$A$10:$A$20</c:f>
              <c:strCache>
                <c:ptCount val="10"/>
                <c:pt idx="0">
                  <c:v>A</c:v>
                </c:pt>
                <c:pt idx="1">
                  <c:v>B</c:v>
                </c:pt>
                <c:pt idx="2">
                  <c:v>C</c:v>
                </c:pt>
                <c:pt idx="3">
                  <c:v>D</c:v>
                </c:pt>
                <c:pt idx="4">
                  <c:v>E</c:v>
                </c:pt>
                <c:pt idx="5">
                  <c:v>F</c:v>
                </c:pt>
                <c:pt idx="6">
                  <c:v>G</c:v>
                </c:pt>
                <c:pt idx="7">
                  <c:v>H</c:v>
                </c:pt>
                <c:pt idx="8">
                  <c:v>I</c:v>
                </c:pt>
                <c:pt idx="9">
                  <c:v>J</c:v>
                </c:pt>
              </c:strCache>
            </c:strRef>
          </c:cat>
          <c:val>
            <c:numRef>
              <c:f>Dashboard!$D$10:$D$20</c:f>
              <c:numCache>
                <c:formatCode>General</c:formatCode>
                <c:ptCount val="10"/>
                <c:pt idx="0">
                  <c:v>4485</c:v>
                </c:pt>
                <c:pt idx="1">
                  <c:v>4215</c:v>
                </c:pt>
                <c:pt idx="2">
                  <c:v>4485</c:v>
                </c:pt>
                <c:pt idx="3">
                  <c:v>4350</c:v>
                </c:pt>
                <c:pt idx="4">
                  <c:v>4440</c:v>
                </c:pt>
                <c:pt idx="5">
                  <c:v>4215</c:v>
                </c:pt>
                <c:pt idx="6">
                  <c:v>4080</c:v>
                </c:pt>
                <c:pt idx="7">
                  <c:v>4305</c:v>
                </c:pt>
                <c:pt idx="8">
                  <c:v>4395</c:v>
                </c:pt>
                <c:pt idx="9">
                  <c:v>4530</c:v>
                </c:pt>
              </c:numCache>
            </c:numRef>
          </c:val>
          <c:extLst>
            <c:ext xmlns:c16="http://schemas.microsoft.com/office/drawing/2014/chart" uri="{C3380CC4-5D6E-409C-BE32-E72D297353CC}">
              <c16:uniqueId val="{00000002-D8F7-43D6-A124-50EFDB04028B}"/>
            </c:ext>
          </c:extLst>
        </c:ser>
        <c:dLbls>
          <c:showLegendKey val="0"/>
          <c:showVal val="0"/>
          <c:showCatName val="0"/>
          <c:showSerName val="0"/>
          <c:showPercent val="0"/>
          <c:showBubbleSize val="0"/>
        </c:dLbls>
        <c:gapWidth val="150"/>
        <c:axId val="2078214256"/>
        <c:axId val="1866137472"/>
      </c:barChart>
      <c:lineChart>
        <c:grouping val="standard"/>
        <c:varyColors val="0"/>
        <c:ser>
          <c:idx val="0"/>
          <c:order val="0"/>
          <c:tx>
            <c:strRef>
              <c:f>Dashboard!$B$9</c:f>
              <c:strCache>
                <c:ptCount val="1"/>
                <c:pt idx="0">
                  <c:v>Sum of RPE</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Dashboard!$A$10:$A$20</c:f>
              <c:strCache>
                <c:ptCount val="10"/>
                <c:pt idx="0">
                  <c:v>A</c:v>
                </c:pt>
                <c:pt idx="1">
                  <c:v>B</c:v>
                </c:pt>
                <c:pt idx="2">
                  <c:v>C</c:v>
                </c:pt>
                <c:pt idx="3">
                  <c:v>D</c:v>
                </c:pt>
                <c:pt idx="4">
                  <c:v>E</c:v>
                </c:pt>
                <c:pt idx="5">
                  <c:v>F</c:v>
                </c:pt>
                <c:pt idx="6">
                  <c:v>G</c:v>
                </c:pt>
                <c:pt idx="7">
                  <c:v>H</c:v>
                </c:pt>
                <c:pt idx="8">
                  <c:v>I</c:v>
                </c:pt>
                <c:pt idx="9">
                  <c:v>J</c:v>
                </c:pt>
              </c:strCache>
            </c:strRef>
          </c:cat>
          <c:val>
            <c:numRef>
              <c:f>Dashboard!$B$10:$B$20</c:f>
              <c:numCache>
                <c:formatCode>General</c:formatCode>
                <c:ptCount val="10"/>
                <c:pt idx="0">
                  <c:v>33.5</c:v>
                </c:pt>
                <c:pt idx="1">
                  <c:v>33.5</c:v>
                </c:pt>
                <c:pt idx="2">
                  <c:v>33.5</c:v>
                </c:pt>
                <c:pt idx="3">
                  <c:v>33.5</c:v>
                </c:pt>
                <c:pt idx="4">
                  <c:v>33.5</c:v>
                </c:pt>
                <c:pt idx="5">
                  <c:v>33.5</c:v>
                </c:pt>
                <c:pt idx="6">
                  <c:v>33.5</c:v>
                </c:pt>
                <c:pt idx="7">
                  <c:v>33.5</c:v>
                </c:pt>
                <c:pt idx="8">
                  <c:v>33.5</c:v>
                </c:pt>
                <c:pt idx="9">
                  <c:v>33.5</c:v>
                </c:pt>
              </c:numCache>
            </c:numRef>
          </c:val>
          <c:smooth val="0"/>
          <c:extLst>
            <c:ext xmlns:c16="http://schemas.microsoft.com/office/drawing/2014/chart" uri="{C3380CC4-5D6E-409C-BE32-E72D297353CC}">
              <c16:uniqueId val="{00000000-D8F7-43D6-A124-50EFDB04028B}"/>
            </c:ext>
          </c:extLst>
        </c:ser>
        <c:ser>
          <c:idx val="1"/>
          <c:order val="1"/>
          <c:tx>
            <c:strRef>
              <c:f>Dashboard!$C$9</c:f>
              <c:strCache>
                <c:ptCount val="1"/>
                <c:pt idx="0">
                  <c:v>Sum of RPE2</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Dashboard!$A$10:$A$20</c:f>
              <c:strCache>
                <c:ptCount val="10"/>
                <c:pt idx="0">
                  <c:v>A</c:v>
                </c:pt>
                <c:pt idx="1">
                  <c:v>B</c:v>
                </c:pt>
                <c:pt idx="2">
                  <c:v>C</c:v>
                </c:pt>
                <c:pt idx="3">
                  <c:v>D</c:v>
                </c:pt>
                <c:pt idx="4">
                  <c:v>E</c:v>
                </c:pt>
                <c:pt idx="5">
                  <c:v>F</c:v>
                </c:pt>
                <c:pt idx="6">
                  <c:v>G</c:v>
                </c:pt>
                <c:pt idx="7">
                  <c:v>H</c:v>
                </c:pt>
                <c:pt idx="8">
                  <c:v>I</c:v>
                </c:pt>
                <c:pt idx="9">
                  <c:v>J</c:v>
                </c:pt>
              </c:strCache>
            </c:strRef>
          </c:cat>
          <c:val>
            <c:numRef>
              <c:f>Dashboard!$C$10:$C$20</c:f>
              <c:numCache>
                <c:formatCode>General</c:formatCode>
                <c:ptCount val="10"/>
                <c:pt idx="0">
                  <c:v>55</c:v>
                </c:pt>
                <c:pt idx="1">
                  <c:v>49</c:v>
                </c:pt>
                <c:pt idx="2">
                  <c:v>55</c:v>
                </c:pt>
                <c:pt idx="3">
                  <c:v>52</c:v>
                </c:pt>
                <c:pt idx="4">
                  <c:v>54</c:v>
                </c:pt>
                <c:pt idx="5">
                  <c:v>49</c:v>
                </c:pt>
                <c:pt idx="6">
                  <c:v>46</c:v>
                </c:pt>
                <c:pt idx="7">
                  <c:v>51</c:v>
                </c:pt>
                <c:pt idx="8">
                  <c:v>53</c:v>
                </c:pt>
                <c:pt idx="9">
                  <c:v>56</c:v>
                </c:pt>
              </c:numCache>
            </c:numRef>
          </c:val>
          <c:smooth val="0"/>
          <c:extLst>
            <c:ext xmlns:c16="http://schemas.microsoft.com/office/drawing/2014/chart" uri="{C3380CC4-5D6E-409C-BE32-E72D297353CC}">
              <c16:uniqueId val="{00000001-D8F7-43D6-A124-50EFDB04028B}"/>
            </c:ext>
          </c:extLst>
        </c:ser>
        <c:dLbls>
          <c:showLegendKey val="0"/>
          <c:showVal val="0"/>
          <c:showCatName val="0"/>
          <c:showSerName val="0"/>
          <c:showPercent val="0"/>
          <c:showBubbleSize val="0"/>
        </c:dLbls>
        <c:marker val="1"/>
        <c:smooth val="0"/>
        <c:axId val="1028692816"/>
        <c:axId val="1020746000"/>
      </c:lineChart>
      <c:catAx>
        <c:axId val="2078214256"/>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66137472"/>
        <c:crosses val="autoZero"/>
        <c:auto val="1"/>
        <c:lblAlgn val="ctr"/>
        <c:lblOffset val="100"/>
        <c:noMultiLvlLbl val="0"/>
      </c:catAx>
      <c:valAx>
        <c:axId val="186613747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78214256"/>
        <c:crosses val="autoZero"/>
        <c:crossBetween val="between"/>
      </c:valAx>
      <c:valAx>
        <c:axId val="1020746000"/>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28692816"/>
        <c:crosses val="max"/>
        <c:crossBetween val="between"/>
      </c:valAx>
      <c:catAx>
        <c:axId val="1028692816"/>
        <c:scaling>
          <c:orientation val="minMax"/>
        </c:scaling>
        <c:delete val="1"/>
        <c:axPos val="b"/>
        <c:numFmt formatCode="General" sourceLinked="1"/>
        <c:majorTickMark val="out"/>
        <c:minorTickMark val="none"/>
        <c:tickLblPos val="nextTo"/>
        <c:crossAx val="1020746000"/>
        <c:auto val="1"/>
        <c:lblAlgn val="ctr"/>
        <c:lblOffset val="100"/>
        <c:noMultiLvlLbl val="0"/>
      </c:cat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[training-load-monotony-strain.xlsx]Dashboard!PivotTable12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Individual Daily Load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1"/>
          <c:order val="1"/>
          <c:tx>
            <c:strRef>
              <c:f>Dashboard!$C$25</c:f>
              <c:strCache>
                <c:ptCount val="1"/>
                <c:pt idx="0">
                  <c:v>Sum of Daily Load</c:v>
                </c:pt>
              </c:strCache>
            </c:strRef>
          </c:tx>
          <c:spPr>
            <a:solidFill>
              <a:schemeClr val="accent2"/>
            </a:solidFill>
            <a:ln>
              <a:noFill/>
            </a:ln>
            <a:effectLst/>
          </c:spPr>
          <c:invertIfNegative val="0"/>
          <c:cat>
            <c:strRef>
              <c:f>Dashboard!$A$26:$A$33</c:f>
              <c:strCache>
                <c:ptCount val="7"/>
                <c:pt idx="0">
                  <c:v>Sunday</c:v>
                </c:pt>
                <c:pt idx="1">
                  <c:v>Monday</c:v>
                </c:pt>
                <c:pt idx="2">
                  <c:v>Tuesday</c:v>
                </c:pt>
                <c:pt idx="3">
                  <c:v>Wednesday</c:v>
                </c:pt>
                <c:pt idx="4">
                  <c:v>Thursday</c:v>
                </c:pt>
                <c:pt idx="5">
                  <c:v>Friday</c:v>
                </c:pt>
                <c:pt idx="6">
                  <c:v>Saturday</c:v>
                </c:pt>
              </c:strCache>
            </c:strRef>
          </c:cat>
          <c:val>
            <c:numRef>
              <c:f>Dashboard!$C$26:$C$33</c:f>
              <c:numCache>
                <c:formatCode>General</c:formatCode>
                <c:ptCount val="7"/>
                <c:pt idx="0">
                  <c:v>3375</c:v>
                </c:pt>
                <c:pt idx="1">
                  <c:v>7875</c:v>
                </c:pt>
                <c:pt idx="2">
                  <c:v>7080</c:v>
                </c:pt>
                <c:pt idx="3">
                  <c:v>5085</c:v>
                </c:pt>
                <c:pt idx="4">
                  <c:v>8535</c:v>
                </c:pt>
                <c:pt idx="5">
                  <c:v>7155</c:v>
                </c:pt>
                <c:pt idx="6">
                  <c:v>4395</c:v>
                </c:pt>
              </c:numCache>
            </c:numRef>
          </c:val>
          <c:extLst>
            <c:ext xmlns:c16="http://schemas.microsoft.com/office/drawing/2014/chart" uri="{C3380CC4-5D6E-409C-BE32-E72D297353CC}">
              <c16:uniqueId val="{00000001-ADCF-47E3-AC0C-D04C4EE67C03}"/>
            </c:ext>
          </c:extLst>
        </c:ser>
        <c:dLbls>
          <c:showLegendKey val="0"/>
          <c:showVal val="0"/>
          <c:showCatName val="0"/>
          <c:showSerName val="0"/>
          <c:showPercent val="0"/>
          <c:showBubbleSize val="0"/>
        </c:dLbls>
        <c:gapWidth val="219"/>
        <c:axId val="1028703952"/>
        <c:axId val="1020737360"/>
      </c:barChart>
      <c:lineChart>
        <c:grouping val="standard"/>
        <c:varyColors val="0"/>
        <c:ser>
          <c:idx val="0"/>
          <c:order val="0"/>
          <c:tx>
            <c:strRef>
              <c:f>Dashboard!$B$25</c:f>
              <c:strCache>
                <c:ptCount val="1"/>
                <c:pt idx="0">
                  <c:v>Sum of RPE </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Dashboard!$A$26:$A$33</c:f>
              <c:strCache>
                <c:ptCount val="7"/>
                <c:pt idx="0">
                  <c:v>Sunday</c:v>
                </c:pt>
                <c:pt idx="1">
                  <c:v>Monday</c:v>
                </c:pt>
                <c:pt idx="2">
                  <c:v>Tuesday</c:v>
                </c:pt>
                <c:pt idx="3">
                  <c:v>Wednesday</c:v>
                </c:pt>
                <c:pt idx="4">
                  <c:v>Thursday</c:v>
                </c:pt>
                <c:pt idx="5">
                  <c:v>Friday</c:v>
                </c:pt>
                <c:pt idx="6">
                  <c:v>Saturday</c:v>
                </c:pt>
              </c:strCache>
            </c:strRef>
          </c:cat>
          <c:val>
            <c:numRef>
              <c:f>Dashboard!$B$26:$B$33</c:f>
              <c:numCache>
                <c:formatCode>General</c:formatCode>
                <c:ptCount val="7"/>
                <c:pt idx="0">
                  <c:v>75</c:v>
                </c:pt>
                <c:pt idx="1">
                  <c:v>75</c:v>
                </c:pt>
                <c:pt idx="2">
                  <c:v>74</c:v>
                </c:pt>
                <c:pt idx="3">
                  <c:v>73</c:v>
                </c:pt>
                <c:pt idx="4">
                  <c:v>73</c:v>
                </c:pt>
                <c:pt idx="5">
                  <c:v>79</c:v>
                </c:pt>
                <c:pt idx="6">
                  <c:v>71</c:v>
                </c:pt>
              </c:numCache>
            </c:numRef>
          </c:val>
          <c:smooth val="0"/>
          <c:extLst>
            <c:ext xmlns:c16="http://schemas.microsoft.com/office/drawing/2014/chart" uri="{C3380CC4-5D6E-409C-BE32-E72D297353CC}">
              <c16:uniqueId val="{00000000-ADCF-47E3-AC0C-D04C4EE67C03}"/>
            </c:ext>
          </c:extLst>
        </c:ser>
        <c:dLbls>
          <c:showLegendKey val="0"/>
          <c:showVal val="0"/>
          <c:showCatName val="0"/>
          <c:showSerName val="0"/>
          <c:showPercent val="0"/>
          <c:showBubbleSize val="0"/>
        </c:dLbls>
        <c:marker val="1"/>
        <c:smooth val="0"/>
        <c:axId val="1028718336"/>
        <c:axId val="1020732560"/>
      </c:lineChart>
      <c:catAx>
        <c:axId val="10287039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20737360"/>
        <c:crosses val="autoZero"/>
        <c:auto val="1"/>
        <c:lblAlgn val="ctr"/>
        <c:lblOffset val="100"/>
        <c:noMultiLvlLbl val="0"/>
      </c:catAx>
      <c:valAx>
        <c:axId val="102073736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28703952"/>
        <c:crosses val="autoZero"/>
        <c:crossBetween val="between"/>
      </c:valAx>
      <c:valAx>
        <c:axId val="1020732560"/>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28718336"/>
        <c:crosses val="max"/>
        <c:crossBetween val="between"/>
      </c:valAx>
      <c:catAx>
        <c:axId val="1028718336"/>
        <c:scaling>
          <c:orientation val="minMax"/>
        </c:scaling>
        <c:delete val="1"/>
        <c:axPos val="b"/>
        <c:numFmt formatCode="General" sourceLinked="1"/>
        <c:majorTickMark val="out"/>
        <c:minorTickMark val="none"/>
        <c:tickLblPos val="nextTo"/>
        <c:crossAx val="1020732560"/>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[training-load-monotony-strain.xlsx]Dashboard!PivotTable16</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Chart of Monotony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Dashboard!$B$47</c:f>
              <c:strCache>
                <c:ptCount val="1"/>
                <c:pt idx="0">
                  <c:v>Sum of Mean of Daily Training</c:v>
                </c:pt>
              </c:strCache>
            </c:strRef>
          </c:tx>
          <c:spPr>
            <a:solidFill>
              <a:schemeClr val="accent1"/>
            </a:solidFill>
            <a:ln>
              <a:noFill/>
            </a:ln>
            <a:effectLst/>
          </c:spPr>
          <c:invertIfNegative val="0"/>
          <c:cat>
            <c:strRef>
              <c:f>Dashboard!$A$48:$A$59</c:f>
              <c:strCache>
                <c:ptCount val="11"/>
                <c:pt idx="0">
                  <c:v>A</c:v>
                </c:pt>
                <c:pt idx="1">
                  <c:v>B</c:v>
                </c:pt>
                <c:pt idx="2">
                  <c:v>C</c:v>
                </c:pt>
                <c:pt idx="3">
                  <c:v>D</c:v>
                </c:pt>
                <c:pt idx="4">
                  <c:v>E</c:v>
                </c:pt>
                <c:pt idx="5">
                  <c:v>F</c:v>
                </c:pt>
                <c:pt idx="6">
                  <c:v>G</c:v>
                </c:pt>
                <c:pt idx="7">
                  <c:v>H</c:v>
                </c:pt>
                <c:pt idx="8">
                  <c:v>I</c:v>
                </c:pt>
                <c:pt idx="9">
                  <c:v>J</c:v>
                </c:pt>
                <c:pt idx="10">
                  <c:v>Total</c:v>
                </c:pt>
              </c:strCache>
            </c:strRef>
          </c:cat>
          <c:val>
            <c:numRef>
              <c:f>Dashboard!$B$48:$B$59</c:f>
              <c:numCache>
                <c:formatCode>General</c:formatCode>
                <c:ptCount val="11"/>
                <c:pt idx="0">
                  <c:v>640.71428571428567</c:v>
                </c:pt>
                <c:pt idx="1">
                  <c:v>602.14285714285711</c:v>
                </c:pt>
                <c:pt idx="2">
                  <c:v>640.71428571428567</c:v>
                </c:pt>
                <c:pt idx="3">
                  <c:v>621.42857142857144</c:v>
                </c:pt>
                <c:pt idx="4">
                  <c:v>634.28571428571433</c:v>
                </c:pt>
                <c:pt idx="5">
                  <c:v>602.14285714285711</c:v>
                </c:pt>
                <c:pt idx="6">
                  <c:v>582.85714285714289</c:v>
                </c:pt>
                <c:pt idx="7">
                  <c:v>615</c:v>
                </c:pt>
                <c:pt idx="8">
                  <c:v>627.85714285714289</c:v>
                </c:pt>
                <c:pt idx="9">
                  <c:v>647.14285714285711</c:v>
                </c:pt>
                <c:pt idx="10">
                  <c:v>6214.2857142857147</c:v>
                </c:pt>
              </c:numCache>
            </c:numRef>
          </c:val>
          <c:extLst>
            <c:ext xmlns:c16="http://schemas.microsoft.com/office/drawing/2014/chart" uri="{C3380CC4-5D6E-409C-BE32-E72D297353CC}">
              <c16:uniqueId val="{00000000-8BA5-418E-A639-52E1C29806DE}"/>
            </c:ext>
          </c:extLst>
        </c:ser>
        <c:ser>
          <c:idx val="1"/>
          <c:order val="1"/>
          <c:tx>
            <c:strRef>
              <c:f>Dashboard!$C$47</c:f>
              <c:strCache>
                <c:ptCount val="1"/>
                <c:pt idx="0">
                  <c:v>Sum of STDeviation </c:v>
                </c:pt>
              </c:strCache>
            </c:strRef>
          </c:tx>
          <c:spPr>
            <a:solidFill>
              <a:schemeClr val="accent2"/>
            </a:solidFill>
            <a:ln>
              <a:noFill/>
            </a:ln>
            <a:effectLst/>
          </c:spPr>
          <c:invertIfNegative val="0"/>
          <c:cat>
            <c:strRef>
              <c:f>Dashboard!$A$48:$A$59</c:f>
              <c:strCache>
                <c:ptCount val="11"/>
                <c:pt idx="0">
                  <c:v>A</c:v>
                </c:pt>
                <c:pt idx="1">
                  <c:v>B</c:v>
                </c:pt>
                <c:pt idx="2">
                  <c:v>C</c:v>
                </c:pt>
                <c:pt idx="3">
                  <c:v>D</c:v>
                </c:pt>
                <c:pt idx="4">
                  <c:v>E</c:v>
                </c:pt>
                <c:pt idx="5">
                  <c:v>F</c:v>
                </c:pt>
                <c:pt idx="6">
                  <c:v>G</c:v>
                </c:pt>
                <c:pt idx="7">
                  <c:v>H</c:v>
                </c:pt>
                <c:pt idx="8">
                  <c:v>I</c:v>
                </c:pt>
                <c:pt idx="9">
                  <c:v>J</c:v>
                </c:pt>
                <c:pt idx="10">
                  <c:v>Total</c:v>
                </c:pt>
              </c:strCache>
            </c:strRef>
          </c:cat>
          <c:val>
            <c:numRef>
              <c:f>Dashboard!$C$48:$C$59</c:f>
              <c:numCache>
                <c:formatCode>General</c:formatCode>
                <c:ptCount val="11"/>
                <c:pt idx="0">
                  <c:v>199.50832420871927</c:v>
                </c:pt>
                <c:pt idx="1">
                  <c:v>187.63566520558632</c:v>
                </c:pt>
                <c:pt idx="2">
                  <c:v>197.80943210214079</c:v>
                </c:pt>
                <c:pt idx="3">
                  <c:v>222.29324261948602</c:v>
                </c:pt>
                <c:pt idx="4">
                  <c:v>204.52034477912323</c:v>
                </c:pt>
                <c:pt idx="5">
                  <c:v>193.53847900906652</c:v>
                </c:pt>
                <c:pt idx="6">
                  <c:v>188.83099019266641</c:v>
                </c:pt>
                <c:pt idx="7">
                  <c:v>213.89249636207438</c:v>
                </c:pt>
                <c:pt idx="8">
                  <c:v>214.49275712047452</c:v>
                </c:pt>
                <c:pt idx="9">
                  <c:v>160.49032013533676</c:v>
                </c:pt>
                <c:pt idx="10">
                  <c:v>1933.249485045468</c:v>
                </c:pt>
              </c:numCache>
            </c:numRef>
          </c:val>
          <c:extLst>
            <c:ext xmlns:c16="http://schemas.microsoft.com/office/drawing/2014/chart" uri="{C3380CC4-5D6E-409C-BE32-E72D297353CC}">
              <c16:uniqueId val="{00000001-8BA5-418E-A639-52E1C29806DE}"/>
            </c:ext>
          </c:extLst>
        </c:ser>
        <c:dLbls>
          <c:showLegendKey val="0"/>
          <c:showVal val="0"/>
          <c:showCatName val="0"/>
          <c:showSerName val="0"/>
          <c:showPercent val="0"/>
          <c:showBubbleSize val="0"/>
        </c:dLbls>
        <c:gapWidth val="219"/>
        <c:axId val="1028717408"/>
        <c:axId val="534427424"/>
      </c:barChart>
      <c:lineChart>
        <c:grouping val="standard"/>
        <c:varyColors val="0"/>
        <c:ser>
          <c:idx val="2"/>
          <c:order val="2"/>
          <c:tx>
            <c:strRef>
              <c:f>Dashboard!$D$47</c:f>
              <c:strCache>
                <c:ptCount val="1"/>
                <c:pt idx="0">
                  <c:v>Sum of Monotomy</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Dashboard!$A$48:$A$59</c:f>
              <c:strCache>
                <c:ptCount val="11"/>
                <c:pt idx="0">
                  <c:v>A</c:v>
                </c:pt>
                <c:pt idx="1">
                  <c:v>B</c:v>
                </c:pt>
                <c:pt idx="2">
                  <c:v>C</c:v>
                </c:pt>
                <c:pt idx="3">
                  <c:v>D</c:v>
                </c:pt>
                <c:pt idx="4">
                  <c:v>E</c:v>
                </c:pt>
                <c:pt idx="5">
                  <c:v>F</c:v>
                </c:pt>
                <c:pt idx="6">
                  <c:v>G</c:v>
                </c:pt>
                <c:pt idx="7">
                  <c:v>H</c:v>
                </c:pt>
                <c:pt idx="8">
                  <c:v>I</c:v>
                </c:pt>
                <c:pt idx="9">
                  <c:v>J</c:v>
                </c:pt>
                <c:pt idx="10">
                  <c:v>Total</c:v>
                </c:pt>
              </c:strCache>
            </c:strRef>
          </c:cat>
          <c:val>
            <c:numRef>
              <c:f>Dashboard!$D$48:$D$59</c:f>
              <c:numCache>
                <c:formatCode>General</c:formatCode>
                <c:ptCount val="11"/>
                <c:pt idx="0">
                  <c:v>3.2114664300622904</c:v>
                </c:pt>
                <c:pt idx="1">
                  <c:v>3.2091066295051567</c:v>
                </c:pt>
                <c:pt idx="2">
                  <c:v>3.239048203644034</c:v>
                </c:pt>
                <c:pt idx="3">
                  <c:v>2.7955351413552036</c:v>
                </c:pt>
                <c:pt idx="4">
                  <c:v>3.1013330970604747</c:v>
                </c:pt>
                <c:pt idx="5">
                  <c:v>3.1112306980290421</c:v>
                </c:pt>
                <c:pt idx="6">
                  <c:v>3.0866604166108917</c:v>
                </c:pt>
                <c:pt idx="7">
                  <c:v>2.8752761806049341</c:v>
                </c:pt>
                <c:pt idx="8">
                  <c:v>2.9271717669445279</c:v>
                </c:pt>
                <c:pt idx="9">
                  <c:v>4.0322859135500551</c:v>
                </c:pt>
                <c:pt idx="10">
                  <c:v>3.2144251232735033</c:v>
                </c:pt>
              </c:numCache>
            </c:numRef>
          </c:val>
          <c:smooth val="0"/>
          <c:extLst>
            <c:ext xmlns:c16="http://schemas.microsoft.com/office/drawing/2014/chart" uri="{C3380CC4-5D6E-409C-BE32-E72D297353CC}">
              <c16:uniqueId val="{00000002-8BA5-418E-A639-52E1C29806DE}"/>
            </c:ext>
          </c:extLst>
        </c:ser>
        <c:dLbls>
          <c:showLegendKey val="0"/>
          <c:showVal val="0"/>
          <c:showCatName val="0"/>
          <c:showSerName val="0"/>
          <c:showPercent val="0"/>
          <c:showBubbleSize val="0"/>
        </c:dLbls>
        <c:marker val="1"/>
        <c:smooth val="0"/>
        <c:axId val="1028713232"/>
        <c:axId val="534439904"/>
      </c:lineChart>
      <c:catAx>
        <c:axId val="10287174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4427424"/>
        <c:crosses val="autoZero"/>
        <c:auto val="1"/>
        <c:lblAlgn val="ctr"/>
        <c:lblOffset val="100"/>
        <c:noMultiLvlLbl val="0"/>
      </c:catAx>
      <c:valAx>
        <c:axId val="53442742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28717408"/>
        <c:crosses val="autoZero"/>
        <c:crossBetween val="between"/>
      </c:valAx>
      <c:valAx>
        <c:axId val="534439904"/>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28713232"/>
        <c:crosses val="max"/>
        <c:crossBetween val="between"/>
      </c:valAx>
      <c:catAx>
        <c:axId val="1028713232"/>
        <c:scaling>
          <c:orientation val="minMax"/>
        </c:scaling>
        <c:delete val="1"/>
        <c:axPos val="b"/>
        <c:numFmt formatCode="General" sourceLinked="1"/>
        <c:majorTickMark val="out"/>
        <c:minorTickMark val="none"/>
        <c:tickLblPos val="nextTo"/>
        <c:crossAx val="534439904"/>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[training-load-monotony-strain.xlsx]Dashboard!PivotTable17</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id-ID"/>
              <a:t>Chart</a:t>
            </a:r>
            <a:r>
              <a:rPr lang="id-ID" baseline="0"/>
              <a:t> of Strain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Dashboard!$B$68</c:f>
              <c:strCache>
                <c:ptCount val="1"/>
                <c:pt idx="0">
                  <c:v>Sum of Grand Total</c:v>
                </c:pt>
              </c:strCache>
            </c:strRef>
          </c:tx>
          <c:spPr>
            <a:solidFill>
              <a:schemeClr val="accent1"/>
            </a:solidFill>
            <a:ln>
              <a:noFill/>
            </a:ln>
            <a:effectLst/>
          </c:spPr>
          <c:invertIfNegative val="0"/>
          <c:cat>
            <c:strRef>
              <c:f>Dashboard!$A$69:$A$79</c:f>
              <c:strCache>
                <c:ptCount val="10"/>
                <c:pt idx="0">
                  <c:v>A</c:v>
                </c:pt>
                <c:pt idx="1">
                  <c:v>B</c:v>
                </c:pt>
                <c:pt idx="2">
                  <c:v>C</c:v>
                </c:pt>
                <c:pt idx="3">
                  <c:v>D</c:v>
                </c:pt>
                <c:pt idx="4">
                  <c:v>E</c:v>
                </c:pt>
                <c:pt idx="5">
                  <c:v>F</c:v>
                </c:pt>
                <c:pt idx="6">
                  <c:v>G</c:v>
                </c:pt>
                <c:pt idx="7">
                  <c:v>H</c:v>
                </c:pt>
                <c:pt idx="8">
                  <c:v>I</c:v>
                </c:pt>
                <c:pt idx="9">
                  <c:v>J</c:v>
                </c:pt>
              </c:strCache>
            </c:strRef>
          </c:cat>
          <c:val>
            <c:numRef>
              <c:f>Dashboard!$B$69:$B$79</c:f>
              <c:numCache>
                <c:formatCode>General</c:formatCode>
                <c:ptCount val="10"/>
                <c:pt idx="0">
                  <c:v>4485</c:v>
                </c:pt>
                <c:pt idx="1">
                  <c:v>4215</c:v>
                </c:pt>
                <c:pt idx="2">
                  <c:v>4485</c:v>
                </c:pt>
                <c:pt idx="3">
                  <c:v>4350</c:v>
                </c:pt>
                <c:pt idx="4">
                  <c:v>4440</c:v>
                </c:pt>
                <c:pt idx="5">
                  <c:v>4215</c:v>
                </c:pt>
                <c:pt idx="6">
                  <c:v>4080</c:v>
                </c:pt>
                <c:pt idx="7">
                  <c:v>4305</c:v>
                </c:pt>
                <c:pt idx="8">
                  <c:v>4395</c:v>
                </c:pt>
                <c:pt idx="9">
                  <c:v>4530</c:v>
                </c:pt>
              </c:numCache>
            </c:numRef>
          </c:val>
          <c:extLst>
            <c:ext xmlns:c16="http://schemas.microsoft.com/office/drawing/2014/chart" uri="{C3380CC4-5D6E-409C-BE32-E72D297353CC}">
              <c16:uniqueId val="{00000000-4594-480E-BB4F-9022FFCFE4AE}"/>
            </c:ext>
          </c:extLst>
        </c:ser>
        <c:dLbls>
          <c:showLegendKey val="0"/>
          <c:showVal val="0"/>
          <c:showCatName val="0"/>
          <c:showSerName val="0"/>
          <c:showPercent val="0"/>
          <c:showBubbleSize val="0"/>
        </c:dLbls>
        <c:gapWidth val="219"/>
        <c:overlap val="-27"/>
        <c:axId val="1028667760"/>
        <c:axId val="534452864"/>
      </c:barChart>
      <c:lineChart>
        <c:grouping val="standard"/>
        <c:varyColors val="0"/>
        <c:ser>
          <c:idx val="1"/>
          <c:order val="1"/>
          <c:tx>
            <c:strRef>
              <c:f>Dashboard!$C$68</c:f>
              <c:strCache>
                <c:ptCount val="1"/>
                <c:pt idx="0">
                  <c:v>Sum of Monotomy</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Dashboard!$A$69:$A$79</c:f>
              <c:strCache>
                <c:ptCount val="10"/>
                <c:pt idx="0">
                  <c:v>A</c:v>
                </c:pt>
                <c:pt idx="1">
                  <c:v>B</c:v>
                </c:pt>
                <c:pt idx="2">
                  <c:v>C</c:v>
                </c:pt>
                <c:pt idx="3">
                  <c:v>D</c:v>
                </c:pt>
                <c:pt idx="4">
                  <c:v>E</c:v>
                </c:pt>
                <c:pt idx="5">
                  <c:v>F</c:v>
                </c:pt>
                <c:pt idx="6">
                  <c:v>G</c:v>
                </c:pt>
                <c:pt idx="7">
                  <c:v>H</c:v>
                </c:pt>
                <c:pt idx="8">
                  <c:v>I</c:v>
                </c:pt>
                <c:pt idx="9">
                  <c:v>J</c:v>
                </c:pt>
              </c:strCache>
            </c:strRef>
          </c:cat>
          <c:val>
            <c:numRef>
              <c:f>Dashboard!$C$69:$C$79</c:f>
              <c:numCache>
                <c:formatCode>General</c:formatCode>
                <c:ptCount val="10"/>
                <c:pt idx="0">
                  <c:v>3.2114664300622904</c:v>
                </c:pt>
                <c:pt idx="1">
                  <c:v>3.2091066295051567</c:v>
                </c:pt>
                <c:pt idx="2">
                  <c:v>3.239048203644034</c:v>
                </c:pt>
                <c:pt idx="3">
                  <c:v>2.7955351413552036</c:v>
                </c:pt>
                <c:pt idx="4">
                  <c:v>3.1013330970604747</c:v>
                </c:pt>
                <c:pt idx="5">
                  <c:v>3.1112306980290421</c:v>
                </c:pt>
                <c:pt idx="6">
                  <c:v>3.0866604166108917</c:v>
                </c:pt>
                <c:pt idx="7">
                  <c:v>2.8752761806049341</c:v>
                </c:pt>
                <c:pt idx="8">
                  <c:v>2.9271717669445279</c:v>
                </c:pt>
                <c:pt idx="9">
                  <c:v>4.0322859135500551</c:v>
                </c:pt>
              </c:numCache>
            </c:numRef>
          </c:val>
          <c:smooth val="0"/>
          <c:extLst>
            <c:ext xmlns:c16="http://schemas.microsoft.com/office/drawing/2014/chart" uri="{C3380CC4-5D6E-409C-BE32-E72D297353CC}">
              <c16:uniqueId val="{00000001-4594-480E-BB4F-9022FFCFE4AE}"/>
            </c:ext>
          </c:extLst>
        </c:ser>
        <c:ser>
          <c:idx val="2"/>
          <c:order val="2"/>
          <c:tx>
            <c:strRef>
              <c:f>Dashboard!$D$68</c:f>
              <c:strCache>
                <c:ptCount val="1"/>
                <c:pt idx="0">
                  <c:v>Sum of Strain</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Dashboard!$A$69:$A$79</c:f>
              <c:strCache>
                <c:ptCount val="10"/>
                <c:pt idx="0">
                  <c:v>A</c:v>
                </c:pt>
                <c:pt idx="1">
                  <c:v>B</c:v>
                </c:pt>
                <c:pt idx="2">
                  <c:v>C</c:v>
                </c:pt>
                <c:pt idx="3">
                  <c:v>D</c:v>
                </c:pt>
                <c:pt idx="4">
                  <c:v>E</c:v>
                </c:pt>
                <c:pt idx="5">
                  <c:v>F</c:v>
                </c:pt>
                <c:pt idx="6">
                  <c:v>G</c:v>
                </c:pt>
                <c:pt idx="7">
                  <c:v>H</c:v>
                </c:pt>
                <c:pt idx="8">
                  <c:v>I</c:v>
                </c:pt>
                <c:pt idx="9">
                  <c:v>J</c:v>
                </c:pt>
              </c:strCache>
            </c:strRef>
          </c:cat>
          <c:val>
            <c:numRef>
              <c:f>Dashboard!$D$69:$D$79</c:f>
              <c:numCache>
                <c:formatCode>General</c:formatCode>
                <c:ptCount val="10"/>
                <c:pt idx="0">
                  <c:v>14403.426938829372</c:v>
                </c:pt>
                <c:pt idx="1">
                  <c:v>14392.843233330628</c:v>
                </c:pt>
                <c:pt idx="2">
                  <c:v>14527.131193343492</c:v>
                </c:pt>
                <c:pt idx="3">
                  <c:v>12537.975108978088</c:v>
                </c:pt>
                <c:pt idx="4">
                  <c:v>13909.478940316229</c:v>
                </c:pt>
                <c:pt idx="5">
                  <c:v>13953.869680660253</c:v>
                </c:pt>
                <c:pt idx="6">
                  <c:v>13843.67196849985</c:v>
                </c:pt>
                <c:pt idx="7">
                  <c:v>12895.61367001313</c:v>
                </c:pt>
                <c:pt idx="8">
                  <c:v>13128.365374746207</c:v>
                </c:pt>
                <c:pt idx="9">
                  <c:v>18084.802322271997</c:v>
                </c:pt>
              </c:numCache>
            </c:numRef>
          </c:val>
          <c:smooth val="0"/>
          <c:extLst>
            <c:ext xmlns:c16="http://schemas.microsoft.com/office/drawing/2014/chart" uri="{C3380CC4-5D6E-409C-BE32-E72D297353CC}">
              <c16:uniqueId val="{00000002-4594-480E-BB4F-9022FFCFE4AE}"/>
            </c:ext>
          </c:extLst>
        </c:ser>
        <c:dLbls>
          <c:showLegendKey val="0"/>
          <c:showVal val="0"/>
          <c:showCatName val="0"/>
          <c:showSerName val="0"/>
          <c:showPercent val="0"/>
          <c:showBubbleSize val="0"/>
        </c:dLbls>
        <c:marker val="1"/>
        <c:smooth val="0"/>
        <c:axId val="2078245808"/>
        <c:axId val="534437024"/>
      </c:lineChart>
      <c:catAx>
        <c:axId val="10286677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4452864"/>
        <c:crosses val="autoZero"/>
        <c:auto val="1"/>
        <c:lblAlgn val="ctr"/>
        <c:lblOffset val="100"/>
        <c:noMultiLvlLbl val="0"/>
      </c:catAx>
      <c:valAx>
        <c:axId val="53445286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28667760"/>
        <c:crosses val="autoZero"/>
        <c:crossBetween val="between"/>
      </c:valAx>
      <c:valAx>
        <c:axId val="534437024"/>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78245808"/>
        <c:crosses val="max"/>
        <c:crossBetween val="between"/>
      </c:valAx>
      <c:catAx>
        <c:axId val="2078245808"/>
        <c:scaling>
          <c:orientation val="minMax"/>
        </c:scaling>
        <c:delete val="1"/>
        <c:axPos val="b"/>
        <c:numFmt formatCode="General" sourceLinked="1"/>
        <c:majorTickMark val="out"/>
        <c:minorTickMark val="none"/>
        <c:tickLblPos val="nextTo"/>
        <c:crossAx val="534437024"/>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5</xdr:col>
      <xdr:colOff>228600</xdr:colOff>
      <xdr:row>5</xdr:row>
      <xdr:rowOff>88899</xdr:rowOff>
    </xdr:from>
    <xdr:to>
      <xdr:col>12</xdr:col>
      <xdr:colOff>527050</xdr:colOff>
      <xdr:row>20</xdr:row>
      <xdr:rowOff>28574</xdr:rowOff>
    </xdr:to>
    <xdr:graphicFrame macro="">
      <xdr:nvGraphicFramePr>
        <xdr:cNvPr id="2" name="Chart 1">
          <a:extLst>
            <a:ext uri="{FF2B5EF4-FFF2-40B4-BE49-F238E27FC236}">
              <a16:creationId xmlns:a16="http://schemas.microsoft.com/office/drawing/2014/main" id="{FA98F09B-EB15-F837-C153-39E6A9CD2EF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5</xdr:col>
      <xdr:colOff>234950</xdr:colOff>
      <xdr:row>1</xdr:row>
      <xdr:rowOff>177801</xdr:rowOff>
    </xdr:from>
    <xdr:to>
      <xdr:col>12</xdr:col>
      <xdr:colOff>533400</xdr:colOff>
      <xdr:row>5</xdr:row>
      <xdr:rowOff>101600</xdr:rowOff>
    </xdr:to>
    <mc:AlternateContent xmlns:mc="http://schemas.openxmlformats.org/markup-compatibility/2006">
      <mc:Choice xmlns:a14="http://schemas.microsoft.com/office/drawing/2010/main" Requires="a14">
        <xdr:graphicFrame macro="">
          <xdr:nvGraphicFramePr>
            <xdr:cNvPr id="3" name="Days">
              <a:extLst>
                <a:ext uri="{FF2B5EF4-FFF2-40B4-BE49-F238E27FC236}">
                  <a16:creationId xmlns:a16="http://schemas.microsoft.com/office/drawing/2014/main" id="{89C0F714-A3CF-41EF-690D-E6C90EA72D5D}"/>
                </a:ext>
              </a:extLst>
            </xdr:cNvPr>
            <xdr:cNvGraphicFramePr/>
          </xdr:nvGraphicFramePr>
          <xdr:xfrm>
            <a:off x="0" y="0"/>
            <a:ext cx="0" cy="0"/>
          </xdr:xfrm>
          <a:graphic>
            <a:graphicData uri="http://schemas.microsoft.com/office/drawing/2010/slicer">
              <sle:slicer xmlns:sle="http://schemas.microsoft.com/office/drawing/2010/slicer" name="Days"/>
            </a:graphicData>
          </a:graphic>
        </xdr:graphicFrame>
      </mc:Choice>
      <mc:Fallback>
        <xdr:sp macro="" textlink="">
          <xdr:nvSpPr>
            <xdr:cNvPr id="0" name=""/>
            <xdr:cNvSpPr>
              <a:spLocks noTextEdit="1"/>
            </xdr:cNvSpPr>
          </xdr:nvSpPr>
          <xdr:spPr>
            <a:xfrm>
              <a:off x="4845050" y="495301"/>
              <a:ext cx="4565650" cy="711199"/>
            </a:xfrm>
            <a:prstGeom prst="rect">
              <a:avLst/>
            </a:prstGeom>
            <a:solidFill>
              <a:prstClr val="white"/>
            </a:solidFill>
            <a:ln w="1">
              <a:solidFill>
                <a:prstClr val="green"/>
              </a:solidFill>
            </a:ln>
          </xdr:spPr>
          <xdr:txBody>
            <a:bodyPr vertOverflow="clip" horzOverflow="clip"/>
            <a:lstStyle/>
            <a:p>
              <a:r>
                <a:rPr lang="en-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5</xdr:col>
      <xdr:colOff>415925</xdr:colOff>
      <xdr:row>24</xdr:row>
      <xdr:rowOff>130175</xdr:rowOff>
    </xdr:from>
    <xdr:to>
      <xdr:col>13</xdr:col>
      <xdr:colOff>111125</xdr:colOff>
      <xdr:row>39</xdr:row>
      <xdr:rowOff>111125</xdr:rowOff>
    </xdr:to>
    <xdr:graphicFrame macro="">
      <xdr:nvGraphicFramePr>
        <xdr:cNvPr id="4" name="Chart 3">
          <a:extLst>
            <a:ext uri="{FF2B5EF4-FFF2-40B4-BE49-F238E27FC236}">
              <a16:creationId xmlns:a16="http://schemas.microsoft.com/office/drawing/2014/main" id="{582251C6-BCED-1C94-D368-47BD9E6BD41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5</xdr:col>
      <xdr:colOff>412750</xdr:colOff>
      <xdr:row>21</xdr:row>
      <xdr:rowOff>31750</xdr:rowOff>
    </xdr:from>
    <xdr:to>
      <xdr:col>13</xdr:col>
      <xdr:colOff>101600</xdr:colOff>
      <xdr:row>24</xdr:row>
      <xdr:rowOff>146049</xdr:rowOff>
    </xdr:to>
    <mc:AlternateContent xmlns:mc="http://schemas.openxmlformats.org/markup-compatibility/2006">
      <mc:Choice xmlns:a14="http://schemas.microsoft.com/office/drawing/2010/main" Requires="a14">
        <xdr:graphicFrame macro="">
          <xdr:nvGraphicFramePr>
            <xdr:cNvPr id="5" name="Athlete's names">
              <a:extLst>
                <a:ext uri="{FF2B5EF4-FFF2-40B4-BE49-F238E27FC236}">
                  <a16:creationId xmlns:a16="http://schemas.microsoft.com/office/drawing/2014/main" id="{B77FDA18-D1EA-2F3F-50B5-CF41344F5EBE}"/>
                </a:ext>
              </a:extLst>
            </xdr:cNvPr>
            <xdr:cNvGraphicFramePr/>
          </xdr:nvGraphicFramePr>
          <xdr:xfrm>
            <a:off x="0" y="0"/>
            <a:ext cx="0" cy="0"/>
          </xdr:xfrm>
          <a:graphic>
            <a:graphicData uri="http://schemas.microsoft.com/office/drawing/2010/slicer">
              <sle:slicer xmlns:sle="http://schemas.microsoft.com/office/drawing/2010/slicer" name="Athlete's names"/>
            </a:graphicData>
          </a:graphic>
        </xdr:graphicFrame>
      </mc:Choice>
      <mc:Fallback>
        <xdr:sp macro="" textlink="">
          <xdr:nvSpPr>
            <xdr:cNvPr id="0" name=""/>
            <xdr:cNvSpPr>
              <a:spLocks noTextEdit="1"/>
            </xdr:cNvSpPr>
          </xdr:nvSpPr>
          <xdr:spPr>
            <a:xfrm>
              <a:off x="5022850" y="4083050"/>
              <a:ext cx="4565650" cy="666749"/>
            </a:xfrm>
            <a:prstGeom prst="rect">
              <a:avLst/>
            </a:prstGeom>
            <a:solidFill>
              <a:prstClr val="white"/>
            </a:solidFill>
            <a:ln w="1">
              <a:solidFill>
                <a:prstClr val="green"/>
              </a:solidFill>
            </a:ln>
          </xdr:spPr>
          <xdr:txBody>
            <a:bodyPr vertOverflow="clip" horzOverflow="clip"/>
            <a:lstStyle/>
            <a:p>
              <a:r>
                <a:rPr lang="en-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5</xdr:col>
      <xdr:colOff>9525</xdr:colOff>
      <xdr:row>42</xdr:row>
      <xdr:rowOff>180975</xdr:rowOff>
    </xdr:from>
    <xdr:to>
      <xdr:col>12</xdr:col>
      <xdr:colOff>314325</xdr:colOff>
      <xdr:row>57</xdr:row>
      <xdr:rowOff>161925</xdr:rowOff>
    </xdr:to>
    <xdr:graphicFrame macro="">
      <xdr:nvGraphicFramePr>
        <xdr:cNvPr id="6" name="Chart 5">
          <a:extLst>
            <a:ext uri="{FF2B5EF4-FFF2-40B4-BE49-F238E27FC236}">
              <a16:creationId xmlns:a16="http://schemas.microsoft.com/office/drawing/2014/main" id="{1EBEB5F7-09ED-7D74-E17C-ACBBFF7E101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549275</xdr:colOff>
      <xdr:row>64</xdr:row>
      <xdr:rowOff>28575</xdr:rowOff>
    </xdr:from>
    <xdr:to>
      <xdr:col>12</xdr:col>
      <xdr:colOff>244475</xdr:colOff>
      <xdr:row>79</xdr:row>
      <xdr:rowOff>9525</xdr:rowOff>
    </xdr:to>
    <xdr:graphicFrame macro="">
      <xdr:nvGraphicFramePr>
        <xdr:cNvPr id="7" name="Chart 6">
          <a:extLst>
            <a:ext uri="{FF2B5EF4-FFF2-40B4-BE49-F238E27FC236}">
              <a16:creationId xmlns:a16="http://schemas.microsoft.com/office/drawing/2014/main" id="{CA8780C9-0890-8901-E021-CB55961F733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JULI YANDI RAHMAN" refreshedDate="45021.254949074071" createdVersion="8" refreshedVersion="8" minRefreshableVersion="3" recordCount="70" xr:uid="{61E96B11-BAE6-40B8-8B4A-66D5CAFACBB2}">
  <cacheSource type="worksheet">
    <worksheetSource ref="A1:K71" sheet="Input"/>
  </cacheSource>
  <cacheFields count="11">
    <cacheField name="Days" numFmtId="0">
      <sharedItems count="7">
        <s v="Sunday"/>
        <s v="Monday"/>
        <s v="Tuesday"/>
        <s v="Wednesday"/>
        <s v="Thursday"/>
        <s v="Friday"/>
        <s v="Saturday"/>
      </sharedItems>
    </cacheField>
    <cacheField name="Athlete's names" numFmtId="0">
      <sharedItems count="10">
        <s v="A"/>
        <s v="B"/>
        <s v="C"/>
        <s v="D"/>
        <s v="E"/>
        <s v="F"/>
        <s v="G"/>
        <s v="H"/>
        <s v="I"/>
        <s v="J"/>
      </sharedItems>
    </cacheField>
    <cacheField name="Session" numFmtId="0">
      <sharedItems/>
    </cacheField>
    <cacheField name="Duration" numFmtId="0">
      <sharedItems containsSemiMixedTypes="0" containsString="0" containsNumber="1" containsInteger="1" minValue="45" maxValue="45"/>
    </cacheField>
    <cacheField name="RPE " numFmtId="0">
      <sharedItems containsSemiMixedTypes="0" containsString="0" containsNumber="1" containsInteger="1" minValue="6" maxValue="9"/>
    </cacheField>
    <cacheField name="Load" numFmtId="0">
      <sharedItems containsSemiMixedTypes="0" containsString="0" containsNumber="1" containsInteger="1" minValue="270" maxValue="405"/>
    </cacheField>
    <cacheField name="Session II" numFmtId="0">
      <sharedItems/>
    </cacheField>
    <cacheField name="Duration2" numFmtId="0">
      <sharedItems containsSemiMixedTypes="0" containsString="0" containsNumber="1" containsInteger="1" minValue="0" maxValue="75"/>
    </cacheField>
    <cacheField name="RPE" numFmtId="0">
      <sharedItems containsSemiMixedTypes="0" containsString="0" containsNumber="1" minValue="0" maxValue="7.5"/>
    </cacheField>
    <cacheField name="Load2" numFmtId="0">
      <sharedItems containsSemiMixedTypes="0" containsString="0" containsNumber="1" containsInteger="1" minValue="0" maxValue="525"/>
    </cacheField>
    <cacheField name="Daily Load" numFmtId="0">
      <sharedItems containsSemiMixedTypes="0" containsString="0" containsNumber="1" containsInteger="1" minValue="270" maxValue="930"/>
    </cacheField>
  </cacheFields>
  <extLst>
    <ext xmlns:x14="http://schemas.microsoft.com/office/spreadsheetml/2009/9/main" uri="{725AE2AE-9491-48be-B2B4-4EB974FC3084}">
      <x14:pivotCacheDefinition pivotCacheId="1090890352"/>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JULI YANDI RAHMAN" refreshedDate="45021.273059375002" createdVersion="8" refreshedVersion="8" minRefreshableVersion="3" recordCount="11" xr:uid="{2FE1A4A4-053F-4AD9-97B3-0B7B2EC5B7DE}">
  <cacheSource type="worksheet">
    <worksheetSource ref="A96:E107" sheet="Load, Monotony, and Strain"/>
  </cacheSource>
  <cacheFields count="5">
    <cacheField name="Athlete's names" numFmtId="0">
      <sharedItems count="11">
        <s v="A"/>
        <s v="B"/>
        <s v="C"/>
        <s v="D"/>
        <s v="E"/>
        <s v="F"/>
        <s v="G"/>
        <s v="H"/>
        <s v="I"/>
        <s v="J"/>
        <s v="Total"/>
      </sharedItems>
    </cacheField>
    <cacheField name="Mean of Daily Training" numFmtId="0">
      <sharedItems containsSemiMixedTypes="0" containsString="0" containsNumber="1" minValue="582.85714285714289" maxValue="6214.2857142857147"/>
    </cacheField>
    <cacheField name="STDeviation " numFmtId="0">
      <sharedItems containsSemiMixedTypes="0" containsString="0" containsNumber="1" minValue="160.49032013533676" maxValue="1933.249485045468"/>
    </cacheField>
    <cacheField name="Monotomy" numFmtId="0">
      <sharedItems containsSemiMixedTypes="0" containsString="0" containsNumber="1" minValue="2.7955351413552036" maxValue="4.0322859135500551"/>
    </cacheField>
    <cacheField name="Strain" numFmtId="0">
      <sharedItems containsSemiMixedTypes="0" containsString="0" containsNumber="1" minValue="12537.975108978088" maxValue="18084.802322271997"/>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JULI YANDI RAHMAN" refreshedDate="45021.277863310184" createdVersion="8" refreshedVersion="8" minRefreshableVersion="3" recordCount="10" xr:uid="{3BB9775E-AE7D-43BF-B832-43B337D64672}">
  <cacheSource type="worksheet">
    <worksheetSource ref="A96:F106" sheet="Load, Monotony, and Strain"/>
  </cacheSource>
  <cacheFields count="6">
    <cacheField name="Athlete's names" numFmtId="0">
      <sharedItems count="10">
        <s v="A"/>
        <s v="B"/>
        <s v="C"/>
        <s v="D"/>
        <s v="E"/>
        <s v="F"/>
        <s v="G"/>
        <s v="H"/>
        <s v="I"/>
        <s v="J"/>
      </sharedItems>
    </cacheField>
    <cacheField name="Mean of Daily Training" numFmtId="0">
      <sharedItems containsSemiMixedTypes="0" containsString="0" containsNumber="1" minValue="582.85714285714289" maxValue="647.14285714285711"/>
    </cacheField>
    <cacheField name="STDeviation " numFmtId="0">
      <sharedItems containsSemiMixedTypes="0" containsString="0" containsNumber="1" minValue="160.49032013533676" maxValue="222.29324261948602"/>
    </cacheField>
    <cacheField name="Monotomy" numFmtId="0">
      <sharedItems containsSemiMixedTypes="0" containsString="0" containsNumber="1" minValue="2.7955351413552036" maxValue="4.0322859135500551"/>
    </cacheField>
    <cacheField name="Strain" numFmtId="0">
      <sharedItems containsSemiMixedTypes="0" containsString="0" containsNumber="1" minValue="12537.975108978088" maxValue="18084.802322271997"/>
    </cacheField>
    <cacheField name="Grand Total" numFmtId="0">
      <sharedItems containsSemiMixedTypes="0" containsString="0" containsNumber="1" containsInteger="1" minValue="4080" maxValue="4530"/>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0">
  <r>
    <x v="0"/>
    <x v="0"/>
    <s v="Srt 1"/>
    <n v="45"/>
    <n v="9"/>
    <n v="405"/>
    <s v="Off"/>
    <n v="0"/>
    <n v="0"/>
    <n v="0"/>
    <n v="405"/>
  </r>
  <r>
    <x v="0"/>
    <x v="1"/>
    <s v="Srt 1"/>
    <n v="45"/>
    <n v="8"/>
    <n v="360"/>
    <s v="Off"/>
    <n v="0"/>
    <n v="0"/>
    <n v="0"/>
    <n v="360"/>
  </r>
  <r>
    <x v="0"/>
    <x v="2"/>
    <s v="Srt 1"/>
    <n v="45"/>
    <n v="7"/>
    <n v="315"/>
    <s v="Off"/>
    <n v="0"/>
    <n v="0"/>
    <n v="0"/>
    <n v="315"/>
  </r>
  <r>
    <x v="0"/>
    <x v="3"/>
    <s v="Srt 1"/>
    <n v="45"/>
    <n v="6"/>
    <n v="270"/>
    <s v="Off"/>
    <n v="0"/>
    <n v="0"/>
    <n v="0"/>
    <n v="270"/>
  </r>
  <r>
    <x v="0"/>
    <x v="4"/>
    <s v="Srt 1"/>
    <n v="45"/>
    <n v="9"/>
    <n v="405"/>
    <s v="Off"/>
    <n v="0"/>
    <n v="0"/>
    <n v="0"/>
    <n v="405"/>
  </r>
  <r>
    <x v="0"/>
    <x v="5"/>
    <s v="Srt 1"/>
    <n v="45"/>
    <n v="8"/>
    <n v="360"/>
    <s v="Off"/>
    <n v="0"/>
    <n v="0"/>
    <n v="0"/>
    <n v="360"/>
  </r>
  <r>
    <x v="0"/>
    <x v="6"/>
    <s v="Srt 1"/>
    <n v="45"/>
    <n v="7"/>
    <n v="315"/>
    <s v="Off"/>
    <n v="0"/>
    <n v="0"/>
    <n v="0"/>
    <n v="315"/>
  </r>
  <r>
    <x v="0"/>
    <x v="7"/>
    <s v="Srt 1"/>
    <n v="45"/>
    <n v="6"/>
    <n v="270"/>
    <s v="Off"/>
    <n v="0"/>
    <n v="0"/>
    <n v="0"/>
    <n v="270"/>
  </r>
  <r>
    <x v="0"/>
    <x v="8"/>
    <s v="Srt 1"/>
    <n v="45"/>
    <n v="6"/>
    <n v="270"/>
    <s v="Off"/>
    <n v="0"/>
    <n v="0"/>
    <n v="0"/>
    <n v="270"/>
  </r>
  <r>
    <x v="0"/>
    <x v="9"/>
    <s v="Srt 1"/>
    <n v="45"/>
    <n v="9"/>
    <n v="405"/>
    <s v="Off"/>
    <n v="0"/>
    <n v="0"/>
    <n v="0"/>
    <n v="405"/>
  </r>
  <r>
    <x v="1"/>
    <x v="0"/>
    <s v="Srt 1"/>
    <n v="45"/>
    <n v="9"/>
    <n v="405"/>
    <s v="Cond/Skill"/>
    <n v="60"/>
    <n v="7.5"/>
    <n v="450"/>
    <n v="855"/>
  </r>
  <r>
    <x v="1"/>
    <x v="1"/>
    <s v="Srt 1"/>
    <n v="45"/>
    <n v="8"/>
    <n v="360"/>
    <s v="Cond/Skill"/>
    <n v="60"/>
    <n v="7.5"/>
    <n v="450"/>
    <n v="810"/>
  </r>
  <r>
    <x v="1"/>
    <x v="2"/>
    <s v="Srt 1"/>
    <n v="45"/>
    <n v="8"/>
    <n v="360"/>
    <s v="Cond/Skill"/>
    <n v="60"/>
    <n v="7.5"/>
    <n v="450"/>
    <n v="810"/>
  </r>
  <r>
    <x v="1"/>
    <x v="3"/>
    <s v="Srt 1"/>
    <n v="45"/>
    <n v="7"/>
    <n v="315"/>
    <s v="Cond/Skill"/>
    <n v="60"/>
    <n v="7.5"/>
    <n v="450"/>
    <n v="765"/>
  </r>
  <r>
    <x v="1"/>
    <x v="4"/>
    <s v="Srt 1"/>
    <n v="45"/>
    <n v="7"/>
    <n v="315"/>
    <s v="Cond/Skill"/>
    <n v="60"/>
    <n v="7.5"/>
    <n v="450"/>
    <n v="765"/>
  </r>
  <r>
    <x v="1"/>
    <x v="5"/>
    <s v="Srt 1"/>
    <n v="45"/>
    <n v="6"/>
    <n v="270"/>
    <s v="Cond/Skill"/>
    <n v="60"/>
    <n v="7.5"/>
    <n v="450"/>
    <n v="720"/>
  </r>
  <r>
    <x v="1"/>
    <x v="6"/>
    <s v="Srt 1"/>
    <n v="45"/>
    <n v="6"/>
    <n v="270"/>
    <s v="Cond/Skill"/>
    <n v="60"/>
    <n v="7.5"/>
    <n v="450"/>
    <n v="720"/>
  </r>
  <r>
    <x v="1"/>
    <x v="7"/>
    <s v="Srt 1"/>
    <n v="45"/>
    <n v="9"/>
    <n v="405"/>
    <s v="Cond/Skill"/>
    <n v="60"/>
    <n v="7.5"/>
    <n v="450"/>
    <n v="855"/>
  </r>
  <r>
    <x v="1"/>
    <x v="8"/>
    <s v="Srt 1"/>
    <n v="45"/>
    <n v="8"/>
    <n v="360"/>
    <s v="Cond/Skill"/>
    <n v="60"/>
    <n v="7.5"/>
    <n v="450"/>
    <n v="810"/>
  </r>
  <r>
    <x v="1"/>
    <x v="9"/>
    <s v="Srt 1"/>
    <n v="45"/>
    <n v="7"/>
    <n v="315"/>
    <s v="Cond/Skill"/>
    <n v="60"/>
    <n v="7.5"/>
    <n v="450"/>
    <n v="765"/>
  </r>
  <r>
    <x v="2"/>
    <x v="0"/>
    <s v="Srt 1"/>
    <n v="45"/>
    <n v="6"/>
    <n v="270"/>
    <s v="Skill/Tact"/>
    <n v="75"/>
    <n v="5"/>
    <n v="375"/>
    <n v="645"/>
  </r>
  <r>
    <x v="2"/>
    <x v="1"/>
    <s v="Srt 1"/>
    <n v="45"/>
    <n v="6"/>
    <n v="270"/>
    <s v="Skill/Tact"/>
    <n v="75"/>
    <n v="5"/>
    <n v="375"/>
    <n v="645"/>
  </r>
  <r>
    <x v="2"/>
    <x v="2"/>
    <s v="Srt 1"/>
    <n v="45"/>
    <n v="9"/>
    <n v="405"/>
    <s v="Skill/Tact"/>
    <n v="75"/>
    <n v="5"/>
    <n v="375"/>
    <n v="780"/>
  </r>
  <r>
    <x v="2"/>
    <x v="3"/>
    <s v="Srt 1"/>
    <n v="45"/>
    <n v="8"/>
    <n v="360"/>
    <s v="Skill/Tact"/>
    <n v="75"/>
    <n v="5"/>
    <n v="375"/>
    <n v="735"/>
  </r>
  <r>
    <x v="2"/>
    <x v="4"/>
    <s v="Srt 1"/>
    <n v="45"/>
    <n v="7"/>
    <n v="315"/>
    <s v="Skill/Tact"/>
    <n v="75"/>
    <n v="5"/>
    <n v="375"/>
    <n v="690"/>
  </r>
  <r>
    <x v="2"/>
    <x v="5"/>
    <s v="Srt 1"/>
    <n v="45"/>
    <n v="6"/>
    <n v="270"/>
    <s v="Skill/Tact"/>
    <n v="75"/>
    <n v="5"/>
    <n v="375"/>
    <n v="645"/>
  </r>
  <r>
    <x v="2"/>
    <x v="6"/>
    <s v="Srt 1"/>
    <n v="45"/>
    <n v="6"/>
    <n v="270"/>
    <s v="Skill/Tact"/>
    <n v="75"/>
    <n v="5"/>
    <n v="375"/>
    <n v="645"/>
  </r>
  <r>
    <x v="2"/>
    <x v="7"/>
    <s v="Srt 1"/>
    <n v="45"/>
    <n v="9"/>
    <n v="405"/>
    <s v="Skill/Tact"/>
    <n v="75"/>
    <n v="5"/>
    <n v="375"/>
    <n v="780"/>
  </r>
  <r>
    <x v="2"/>
    <x v="8"/>
    <s v="Srt 1"/>
    <n v="45"/>
    <n v="9"/>
    <n v="405"/>
    <s v="Skill/Tact"/>
    <n v="75"/>
    <n v="5"/>
    <n v="375"/>
    <n v="780"/>
  </r>
  <r>
    <x v="2"/>
    <x v="9"/>
    <s v="Srt 1"/>
    <n v="45"/>
    <n v="8"/>
    <n v="360"/>
    <s v="Skill/Tact"/>
    <n v="75"/>
    <n v="5"/>
    <n v="375"/>
    <n v="735"/>
  </r>
  <r>
    <x v="3"/>
    <x v="0"/>
    <s v="Srt 2"/>
    <n v="45"/>
    <n v="8"/>
    <n v="360"/>
    <s v="Rec"/>
    <n v="45"/>
    <n v="4"/>
    <n v="180"/>
    <n v="540"/>
  </r>
  <r>
    <x v="3"/>
    <x v="1"/>
    <s v="Srt 2"/>
    <n v="45"/>
    <n v="7"/>
    <n v="315"/>
    <s v="Rec"/>
    <n v="45"/>
    <n v="4"/>
    <n v="180"/>
    <n v="495"/>
  </r>
  <r>
    <x v="3"/>
    <x v="2"/>
    <s v="Srt 2"/>
    <n v="45"/>
    <n v="7"/>
    <n v="315"/>
    <s v="Rec"/>
    <n v="45"/>
    <n v="4"/>
    <n v="180"/>
    <n v="495"/>
  </r>
  <r>
    <x v="3"/>
    <x v="3"/>
    <s v="Srt 2"/>
    <n v="45"/>
    <n v="6"/>
    <n v="270"/>
    <s v="Rec"/>
    <n v="45"/>
    <n v="4"/>
    <n v="180"/>
    <n v="450"/>
  </r>
  <r>
    <x v="3"/>
    <x v="4"/>
    <s v="Srt 2"/>
    <n v="45"/>
    <n v="6"/>
    <n v="270"/>
    <s v="Rec"/>
    <n v="45"/>
    <n v="4"/>
    <n v="180"/>
    <n v="450"/>
  </r>
  <r>
    <x v="3"/>
    <x v="5"/>
    <s v="Srt 2"/>
    <n v="45"/>
    <n v="7"/>
    <n v="315"/>
    <s v="Rec"/>
    <n v="45"/>
    <n v="4"/>
    <n v="180"/>
    <n v="495"/>
  </r>
  <r>
    <x v="3"/>
    <x v="6"/>
    <s v="Srt 2"/>
    <n v="45"/>
    <n v="7"/>
    <n v="315"/>
    <s v="Rec"/>
    <n v="45"/>
    <n v="4"/>
    <n v="180"/>
    <n v="495"/>
  </r>
  <r>
    <x v="3"/>
    <x v="7"/>
    <s v="Srt 2"/>
    <n v="45"/>
    <n v="8"/>
    <n v="360"/>
    <s v="Rec"/>
    <n v="45"/>
    <n v="4"/>
    <n v="180"/>
    <n v="540"/>
  </r>
  <r>
    <x v="3"/>
    <x v="8"/>
    <s v="Srt 2"/>
    <n v="45"/>
    <n v="8"/>
    <n v="360"/>
    <s v="Rec"/>
    <n v="45"/>
    <n v="4"/>
    <n v="180"/>
    <n v="540"/>
  </r>
  <r>
    <x v="3"/>
    <x v="9"/>
    <s v="Srt 2"/>
    <n v="45"/>
    <n v="9"/>
    <n v="405"/>
    <s v="Rec"/>
    <n v="45"/>
    <n v="4"/>
    <n v="180"/>
    <n v="585"/>
  </r>
  <r>
    <x v="4"/>
    <x v="0"/>
    <s v="Srt 2"/>
    <n v="45"/>
    <n v="9"/>
    <n v="405"/>
    <s v="Spd/skill"/>
    <n v="75"/>
    <n v="7"/>
    <n v="525"/>
    <n v="930"/>
  </r>
  <r>
    <x v="4"/>
    <x v="1"/>
    <s v="Srt 2"/>
    <n v="45"/>
    <n v="6"/>
    <n v="270"/>
    <s v="Spd/skill"/>
    <n v="75"/>
    <n v="7"/>
    <n v="525"/>
    <n v="795"/>
  </r>
  <r>
    <x v="4"/>
    <x v="2"/>
    <s v="Srt 2"/>
    <n v="45"/>
    <n v="7"/>
    <n v="315"/>
    <s v="Spd/skill"/>
    <n v="75"/>
    <n v="7"/>
    <n v="525"/>
    <n v="840"/>
  </r>
  <r>
    <x v="4"/>
    <x v="3"/>
    <s v="Srt 2"/>
    <n v="45"/>
    <n v="8"/>
    <n v="360"/>
    <s v="Spd/skill"/>
    <n v="75"/>
    <n v="7"/>
    <n v="525"/>
    <n v="885"/>
  </r>
  <r>
    <x v="4"/>
    <x v="4"/>
    <s v="Srt 2"/>
    <n v="45"/>
    <n v="9"/>
    <n v="405"/>
    <s v="Spd/skill"/>
    <n v="75"/>
    <n v="7"/>
    <n v="525"/>
    <n v="930"/>
  </r>
  <r>
    <x v="4"/>
    <x v="5"/>
    <s v="Srt 2"/>
    <n v="45"/>
    <n v="8"/>
    <n v="360"/>
    <s v="Spd/skill"/>
    <n v="75"/>
    <n v="7"/>
    <n v="525"/>
    <n v="885"/>
  </r>
  <r>
    <x v="4"/>
    <x v="6"/>
    <s v="Srt 2"/>
    <n v="45"/>
    <n v="7"/>
    <n v="315"/>
    <s v="Spd/skill"/>
    <n v="75"/>
    <n v="7"/>
    <n v="525"/>
    <n v="840"/>
  </r>
  <r>
    <x v="4"/>
    <x v="7"/>
    <s v="Srt 2"/>
    <n v="45"/>
    <n v="6"/>
    <n v="270"/>
    <s v="Spd/skill"/>
    <n v="75"/>
    <n v="7"/>
    <n v="525"/>
    <n v="795"/>
  </r>
  <r>
    <x v="4"/>
    <x v="8"/>
    <s v="Srt 2"/>
    <n v="45"/>
    <n v="6"/>
    <n v="270"/>
    <s v="Spd/skill"/>
    <n v="75"/>
    <n v="7"/>
    <n v="525"/>
    <n v="795"/>
  </r>
  <r>
    <x v="4"/>
    <x v="9"/>
    <s v="Srt 2"/>
    <n v="45"/>
    <n v="7"/>
    <n v="315"/>
    <s v="Spd/skill"/>
    <n v="75"/>
    <n v="7"/>
    <n v="525"/>
    <n v="840"/>
  </r>
  <r>
    <x v="5"/>
    <x v="0"/>
    <s v="Srt 2"/>
    <n v="45"/>
    <n v="7"/>
    <n v="315"/>
    <s v="Cond  "/>
    <n v="60"/>
    <n v="6"/>
    <n v="360"/>
    <n v="675"/>
  </r>
  <r>
    <x v="5"/>
    <x v="1"/>
    <s v="Srt 2"/>
    <n v="45"/>
    <n v="8"/>
    <n v="360"/>
    <s v="Cond  "/>
    <n v="60"/>
    <n v="6"/>
    <n v="360"/>
    <n v="720"/>
  </r>
  <r>
    <x v="5"/>
    <x v="2"/>
    <s v="Srt 2"/>
    <n v="45"/>
    <n v="8"/>
    <n v="360"/>
    <s v="Cond  "/>
    <n v="60"/>
    <n v="6"/>
    <n v="360"/>
    <n v="720"/>
  </r>
  <r>
    <x v="5"/>
    <x v="3"/>
    <s v="Srt 2"/>
    <n v="45"/>
    <n v="9"/>
    <n v="405"/>
    <s v="Cond  "/>
    <n v="60"/>
    <n v="6"/>
    <n v="360"/>
    <n v="765"/>
  </r>
  <r>
    <x v="5"/>
    <x v="4"/>
    <s v="Srt 2"/>
    <n v="45"/>
    <n v="9"/>
    <n v="405"/>
    <s v="Cond  "/>
    <n v="60"/>
    <n v="6"/>
    <n v="360"/>
    <n v="765"/>
  </r>
  <r>
    <x v="5"/>
    <x v="5"/>
    <s v="Srt 2"/>
    <n v="45"/>
    <n v="8"/>
    <n v="360"/>
    <s v="Cond  "/>
    <n v="60"/>
    <n v="6"/>
    <n v="360"/>
    <n v="720"/>
  </r>
  <r>
    <x v="5"/>
    <x v="6"/>
    <s v="Srt 2"/>
    <n v="45"/>
    <n v="7"/>
    <n v="315"/>
    <s v="Cond  "/>
    <n v="60"/>
    <n v="6"/>
    <n v="360"/>
    <n v="675"/>
  </r>
  <r>
    <x v="5"/>
    <x v="7"/>
    <s v="Srt 2"/>
    <n v="45"/>
    <n v="6"/>
    <n v="270"/>
    <s v="Cond  "/>
    <n v="60"/>
    <n v="6"/>
    <n v="360"/>
    <n v="630"/>
  </r>
  <r>
    <x v="5"/>
    <x v="8"/>
    <s v="Srt 2"/>
    <n v="45"/>
    <n v="9"/>
    <n v="405"/>
    <s v="Cond  "/>
    <n v="60"/>
    <n v="6"/>
    <n v="360"/>
    <n v="765"/>
  </r>
  <r>
    <x v="5"/>
    <x v="9"/>
    <s v="Srt 2"/>
    <n v="45"/>
    <n v="8"/>
    <n v="360"/>
    <s v="Cond  "/>
    <n v="60"/>
    <n v="6"/>
    <n v="360"/>
    <n v="720"/>
  </r>
  <r>
    <x v="6"/>
    <x v="0"/>
    <s v="Srt 2"/>
    <n v="45"/>
    <n v="7"/>
    <n v="315"/>
    <s v="Tact"/>
    <n v="30"/>
    <n v="4"/>
    <n v="120"/>
    <n v="435"/>
  </r>
  <r>
    <x v="6"/>
    <x v="1"/>
    <s v="Srt 2"/>
    <n v="45"/>
    <n v="6"/>
    <n v="270"/>
    <s v="Tact"/>
    <n v="30"/>
    <n v="4"/>
    <n v="120"/>
    <n v="390"/>
  </r>
  <r>
    <x v="6"/>
    <x v="2"/>
    <s v="Srt 2"/>
    <n v="45"/>
    <n v="9"/>
    <n v="405"/>
    <s v="Tact"/>
    <n v="30"/>
    <n v="4"/>
    <n v="120"/>
    <n v="525"/>
  </r>
  <r>
    <x v="6"/>
    <x v="3"/>
    <s v="Srt 2"/>
    <n v="45"/>
    <n v="8"/>
    <n v="360"/>
    <s v="Tact"/>
    <n v="30"/>
    <n v="4"/>
    <n v="120"/>
    <n v="480"/>
  </r>
  <r>
    <x v="6"/>
    <x v="4"/>
    <s v="Srt 2"/>
    <n v="45"/>
    <n v="7"/>
    <n v="315"/>
    <s v="Tact"/>
    <n v="30"/>
    <n v="4"/>
    <n v="120"/>
    <n v="435"/>
  </r>
  <r>
    <x v="6"/>
    <x v="5"/>
    <s v="Srt 2"/>
    <n v="45"/>
    <n v="6"/>
    <n v="270"/>
    <s v="Tact"/>
    <n v="30"/>
    <n v="4"/>
    <n v="120"/>
    <n v="390"/>
  </r>
  <r>
    <x v="6"/>
    <x v="6"/>
    <s v="Srt 2"/>
    <n v="45"/>
    <n v="6"/>
    <n v="270"/>
    <s v="Tact"/>
    <n v="30"/>
    <n v="4"/>
    <n v="120"/>
    <n v="390"/>
  </r>
  <r>
    <x v="6"/>
    <x v="7"/>
    <s v="Srt 2"/>
    <n v="45"/>
    <n v="7"/>
    <n v="315"/>
    <s v="Tact"/>
    <n v="30"/>
    <n v="4"/>
    <n v="120"/>
    <n v="435"/>
  </r>
  <r>
    <x v="6"/>
    <x v="8"/>
    <s v="Srt 2"/>
    <n v="45"/>
    <n v="7"/>
    <n v="315"/>
    <s v="Tact"/>
    <n v="30"/>
    <n v="4"/>
    <n v="120"/>
    <n v="435"/>
  </r>
  <r>
    <x v="6"/>
    <x v="9"/>
    <s v="Srt 2"/>
    <n v="45"/>
    <n v="8"/>
    <n v="360"/>
    <s v="Tact"/>
    <n v="30"/>
    <n v="4"/>
    <n v="120"/>
    <n v="48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1">
  <r>
    <x v="0"/>
    <n v="640.71428571428567"/>
    <n v="199.50832420871927"/>
    <n v="3.2114664300622904"/>
    <n v="14403.426938829372"/>
  </r>
  <r>
    <x v="1"/>
    <n v="602.14285714285711"/>
    <n v="187.63566520558632"/>
    <n v="3.2091066295051567"/>
    <n v="14392.843233330628"/>
  </r>
  <r>
    <x v="2"/>
    <n v="640.71428571428567"/>
    <n v="197.80943210214079"/>
    <n v="3.239048203644034"/>
    <n v="14527.131193343492"/>
  </r>
  <r>
    <x v="3"/>
    <n v="621.42857142857144"/>
    <n v="222.29324261948602"/>
    <n v="2.7955351413552036"/>
    <n v="12537.975108978088"/>
  </r>
  <r>
    <x v="4"/>
    <n v="634.28571428571433"/>
    <n v="204.52034477912323"/>
    <n v="3.1013330970604747"/>
    <n v="13909.478940316229"/>
  </r>
  <r>
    <x v="5"/>
    <n v="602.14285714285711"/>
    <n v="193.53847900906652"/>
    <n v="3.1112306980290421"/>
    <n v="13953.869680660253"/>
  </r>
  <r>
    <x v="6"/>
    <n v="582.85714285714289"/>
    <n v="188.83099019266641"/>
    <n v="3.0866604166108917"/>
    <n v="13843.67196849985"/>
  </r>
  <r>
    <x v="7"/>
    <n v="615"/>
    <n v="213.89249636207438"/>
    <n v="2.8752761806049341"/>
    <n v="12895.61367001313"/>
  </r>
  <r>
    <x v="8"/>
    <n v="627.85714285714289"/>
    <n v="214.49275712047452"/>
    <n v="2.9271717669445279"/>
    <n v="13128.365374746207"/>
  </r>
  <r>
    <x v="9"/>
    <n v="647.14285714285711"/>
    <n v="160.49032013533676"/>
    <n v="4.0322859135500551"/>
    <n v="18084.802322271997"/>
  </r>
  <r>
    <x v="10"/>
    <n v="6214.2857142857147"/>
    <n v="1933.249485045468"/>
    <n v="3.2144251232735033"/>
    <n v="14416.696677881662"/>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
  <r>
    <x v="0"/>
    <n v="640.71428571428567"/>
    <n v="199.50832420871927"/>
    <n v="3.2114664300622904"/>
    <n v="14403.426938829372"/>
    <n v="4485"/>
  </r>
  <r>
    <x v="1"/>
    <n v="602.14285714285711"/>
    <n v="187.63566520558632"/>
    <n v="3.2091066295051567"/>
    <n v="14392.843233330628"/>
    <n v="4215"/>
  </r>
  <r>
    <x v="2"/>
    <n v="640.71428571428567"/>
    <n v="197.80943210214079"/>
    <n v="3.239048203644034"/>
    <n v="14527.131193343492"/>
    <n v="4485"/>
  </r>
  <r>
    <x v="3"/>
    <n v="621.42857142857144"/>
    <n v="222.29324261948602"/>
    <n v="2.7955351413552036"/>
    <n v="12537.975108978088"/>
    <n v="4350"/>
  </r>
  <r>
    <x v="4"/>
    <n v="634.28571428571433"/>
    <n v="204.52034477912323"/>
    <n v="3.1013330970604747"/>
    <n v="13909.478940316229"/>
    <n v="4440"/>
  </r>
  <r>
    <x v="5"/>
    <n v="602.14285714285711"/>
    <n v="193.53847900906652"/>
    <n v="3.1112306980290421"/>
    <n v="13953.869680660253"/>
    <n v="4215"/>
  </r>
  <r>
    <x v="6"/>
    <n v="582.85714285714289"/>
    <n v="188.83099019266641"/>
    <n v="3.0866604166108917"/>
    <n v="13843.67196849985"/>
    <n v="4080"/>
  </r>
  <r>
    <x v="7"/>
    <n v="615"/>
    <n v="213.89249636207438"/>
    <n v="2.8752761806049341"/>
    <n v="12895.61367001313"/>
    <n v="4305"/>
  </r>
  <r>
    <x v="8"/>
    <n v="627.85714285714289"/>
    <n v="214.49275712047452"/>
    <n v="2.9271717669445279"/>
    <n v="13128.365374746207"/>
    <n v="4395"/>
  </r>
  <r>
    <x v="9"/>
    <n v="647.14285714285711"/>
    <n v="160.49032013533676"/>
    <n v="4.0322859135500551"/>
    <n v="18084.802322271997"/>
    <n v="453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48E7CF3-B8BE-46EF-B419-6C9CE06B9DEF}" name="PivotTable13" cacheId="2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81:I93" firstHeaderRow="1" firstDataRow="2" firstDataCol="1"/>
  <pivotFields count="11">
    <pivotField axis="axisCol" showAll="0">
      <items count="8">
        <item x="0"/>
        <item x="1"/>
        <item x="2"/>
        <item x="3"/>
        <item x="4"/>
        <item x="5"/>
        <item x="6"/>
        <item t="default"/>
      </items>
    </pivotField>
    <pivotField axis="axisRow" showAll="0">
      <items count="11">
        <item x="0"/>
        <item x="1"/>
        <item x="2"/>
        <item x="3"/>
        <item x="4"/>
        <item x="5"/>
        <item x="6"/>
        <item x="7"/>
        <item x="8"/>
        <item x="9"/>
        <item t="default"/>
      </items>
    </pivotField>
    <pivotField showAll="0"/>
    <pivotField showAll="0"/>
    <pivotField showAll="0"/>
    <pivotField showAll="0"/>
    <pivotField showAll="0"/>
    <pivotField showAll="0"/>
    <pivotField showAll="0"/>
    <pivotField showAll="0"/>
    <pivotField dataField="1" showAll="0"/>
  </pivotFields>
  <rowFields count="1">
    <field x="1"/>
  </rowFields>
  <rowItems count="11">
    <i>
      <x/>
    </i>
    <i>
      <x v="1"/>
    </i>
    <i>
      <x v="2"/>
    </i>
    <i>
      <x v="3"/>
    </i>
    <i>
      <x v="4"/>
    </i>
    <i>
      <x v="5"/>
    </i>
    <i>
      <x v="6"/>
    </i>
    <i>
      <x v="7"/>
    </i>
    <i>
      <x v="8"/>
    </i>
    <i>
      <x v="9"/>
    </i>
    <i t="grand">
      <x/>
    </i>
  </rowItems>
  <colFields count="1">
    <field x="0"/>
  </colFields>
  <colItems count="8">
    <i>
      <x/>
    </i>
    <i>
      <x v="1"/>
    </i>
    <i>
      <x v="2"/>
    </i>
    <i>
      <x v="3"/>
    </i>
    <i>
      <x v="4"/>
    </i>
    <i>
      <x v="5"/>
    </i>
    <i>
      <x v="6"/>
    </i>
    <i t="grand">
      <x/>
    </i>
  </colItems>
  <dataFields count="1">
    <dataField name="Sum of Daily Load" fld="10"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1B31B5D-5542-495D-B636-F66CAA94F352}" name="PivotTable17" cacheId="3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68:D79" firstHeaderRow="0" firstDataRow="1" firstDataCol="1"/>
  <pivotFields count="6">
    <pivotField axis="axisRow" showAll="0">
      <items count="11">
        <item x="0"/>
        <item x="1"/>
        <item x="2"/>
        <item x="3"/>
        <item x="4"/>
        <item x="5"/>
        <item x="6"/>
        <item x="7"/>
        <item x="8"/>
        <item x="9"/>
        <item t="default"/>
      </items>
    </pivotField>
    <pivotField showAll="0"/>
    <pivotField showAll="0"/>
    <pivotField dataField="1" showAll="0"/>
    <pivotField dataField="1" showAll="0"/>
    <pivotField dataField="1" showAll="0"/>
  </pivotFields>
  <rowFields count="1">
    <field x="0"/>
  </rowFields>
  <rowItems count="11">
    <i>
      <x/>
    </i>
    <i>
      <x v="1"/>
    </i>
    <i>
      <x v="2"/>
    </i>
    <i>
      <x v="3"/>
    </i>
    <i>
      <x v="4"/>
    </i>
    <i>
      <x v="5"/>
    </i>
    <i>
      <x v="6"/>
    </i>
    <i>
      <x v="7"/>
    </i>
    <i>
      <x v="8"/>
    </i>
    <i>
      <x v="9"/>
    </i>
    <i t="grand">
      <x/>
    </i>
  </rowItems>
  <colFields count="1">
    <field x="-2"/>
  </colFields>
  <colItems count="3">
    <i>
      <x/>
    </i>
    <i i="1">
      <x v="1"/>
    </i>
    <i i="2">
      <x v="2"/>
    </i>
  </colItems>
  <dataFields count="3">
    <dataField name="Sum of Grand Total" fld="5" baseField="0" baseItem="0"/>
    <dataField name="Sum of Monotomy" fld="3" baseField="0" baseItem="0"/>
    <dataField name="Sum of Strain" fld="4" baseField="0" baseItem="0"/>
  </dataFields>
  <formats count="9">
    <format dxfId="39">
      <pivotArea type="all" dataOnly="0" outline="0" fieldPosition="0"/>
    </format>
    <format dxfId="38">
      <pivotArea outline="0" collapsedLevelsAreSubtotals="1" fieldPosition="0"/>
    </format>
    <format dxfId="37">
      <pivotArea field="0" type="button" dataOnly="0" labelOnly="1" outline="0" axis="axisRow" fieldPosition="0"/>
    </format>
    <format dxfId="36">
      <pivotArea dataOnly="0" labelOnly="1" fieldPosition="0">
        <references count="1">
          <reference field="0" count="0"/>
        </references>
      </pivotArea>
    </format>
    <format dxfId="35">
      <pivotArea dataOnly="0" labelOnly="1" grandRow="1" outline="0" fieldPosition="0"/>
    </format>
    <format dxfId="34">
      <pivotArea dataOnly="0" labelOnly="1" outline="0" fieldPosition="0">
        <references count="1">
          <reference field="4294967294" count="3">
            <x v="0"/>
            <x v="1"/>
            <x v="2"/>
          </reference>
        </references>
      </pivotArea>
    </format>
    <format dxfId="2">
      <pivotArea field="0" type="button" dataOnly="0" labelOnly="1" outline="0" axis="axisRow" fieldPosition="0"/>
    </format>
    <format dxfId="1">
      <pivotArea dataOnly="0" labelOnly="1" outline="0" fieldPosition="0">
        <references count="1">
          <reference field="4294967294" count="3">
            <x v="0"/>
            <x v="1"/>
            <x v="2"/>
          </reference>
        </references>
      </pivotArea>
    </format>
    <format dxfId="0">
      <pivotArea dataOnly="0" grandRow="1" axis="axisRow" fieldPosition="0"/>
    </format>
  </formats>
  <chartFormats count="3">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D62FE3D-DAA5-40AD-A81B-1D4EFA219127}" name="PivotTable16" cacheId="3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47:D59" firstHeaderRow="0" firstDataRow="1" firstDataCol="1"/>
  <pivotFields count="5">
    <pivotField axis="axisRow" showAll="0">
      <items count="12">
        <item x="0"/>
        <item x="1"/>
        <item x="2"/>
        <item x="3"/>
        <item x="4"/>
        <item x="5"/>
        <item x="6"/>
        <item x="7"/>
        <item x="8"/>
        <item x="9"/>
        <item x="10"/>
        <item t="default"/>
      </items>
    </pivotField>
    <pivotField dataField="1" showAll="0"/>
    <pivotField dataField="1" showAll="0"/>
    <pivotField dataField="1" showAll="0"/>
    <pivotField showAll="0"/>
  </pivotFields>
  <rowFields count="1">
    <field x="0"/>
  </rowFields>
  <rowItems count="12">
    <i>
      <x/>
    </i>
    <i>
      <x v="1"/>
    </i>
    <i>
      <x v="2"/>
    </i>
    <i>
      <x v="3"/>
    </i>
    <i>
      <x v="4"/>
    </i>
    <i>
      <x v="5"/>
    </i>
    <i>
      <x v="6"/>
    </i>
    <i>
      <x v="7"/>
    </i>
    <i>
      <x v="8"/>
    </i>
    <i>
      <x v="9"/>
    </i>
    <i>
      <x v="10"/>
    </i>
    <i t="grand">
      <x/>
    </i>
  </rowItems>
  <colFields count="1">
    <field x="-2"/>
  </colFields>
  <colItems count="3">
    <i>
      <x/>
    </i>
    <i i="1">
      <x v="1"/>
    </i>
    <i i="2">
      <x v="2"/>
    </i>
  </colItems>
  <dataFields count="3">
    <dataField name="Sum of Mean of Daily Training" fld="1" baseField="0" baseItem="0"/>
    <dataField name="Sum of STDeviation " fld="2" baseField="0" baseItem="0"/>
    <dataField name="Sum of Monotomy" fld="3" baseField="0" baseItem="0"/>
  </dataFields>
  <formats count="10">
    <format dxfId="33">
      <pivotArea type="all" dataOnly="0" outline="0" fieldPosition="0"/>
    </format>
    <format dxfId="32">
      <pivotArea outline="0" collapsedLevelsAreSubtotals="1" fieldPosition="0"/>
    </format>
    <format dxfId="31">
      <pivotArea field="0" type="button" dataOnly="0" labelOnly="1" outline="0" axis="axisRow" fieldPosition="0"/>
    </format>
    <format dxfId="30">
      <pivotArea dataOnly="0" labelOnly="1" fieldPosition="0">
        <references count="1">
          <reference field="0" count="0"/>
        </references>
      </pivotArea>
    </format>
    <format dxfId="29">
      <pivotArea dataOnly="0" labelOnly="1" grandRow="1" outline="0" fieldPosition="0"/>
    </format>
    <format dxfId="28">
      <pivotArea dataOnly="0" labelOnly="1" outline="0" fieldPosition="0">
        <references count="1">
          <reference field="4294967294" count="3">
            <x v="0"/>
            <x v="1"/>
            <x v="2"/>
          </reference>
        </references>
      </pivotArea>
    </format>
    <format dxfId="6">
      <pivotArea field="0" type="button" dataOnly="0" labelOnly="1" outline="0" axis="axisRow" fieldPosition="0"/>
    </format>
    <format dxfId="5">
      <pivotArea dataOnly="0" labelOnly="1" outline="0" fieldPosition="0">
        <references count="1">
          <reference field="4294967294" count="3">
            <x v="0"/>
            <x v="1"/>
            <x v="2"/>
          </reference>
        </references>
      </pivotArea>
    </format>
    <format dxfId="4">
      <pivotArea grandRow="1" outline="0" collapsedLevelsAreSubtotals="1" fieldPosition="0"/>
    </format>
    <format dxfId="3">
      <pivotArea dataOnly="0" labelOnly="1" grandRow="1" outline="0" fieldPosition="0"/>
    </format>
  </formats>
  <chartFormats count="3">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F575DC8-25EB-45F0-8F27-A62AD39246D8}" name="PivotTable12" cacheId="2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25:C33" firstHeaderRow="0" firstDataRow="1" firstDataCol="1" rowPageCount="1" colPageCount="1"/>
  <pivotFields count="11">
    <pivotField axis="axisRow" showAll="0">
      <items count="8">
        <item x="0"/>
        <item x="1"/>
        <item x="2"/>
        <item x="3"/>
        <item x="4"/>
        <item x="5"/>
        <item x="6"/>
        <item t="default"/>
      </items>
    </pivotField>
    <pivotField axis="axisPage" showAll="0">
      <items count="11">
        <item x="0"/>
        <item x="1"/>
        <item x="2"/>
        <item x="3"/>
        <item x="4"/>
        <item x="5"/>
        <item x="6"/>
        <item x="7"/>
        <item x="8"/>
        <item x="9"/>
        <item t="default"/>
      </items>
    </pivotField>
    <pivotField showAll="0"/>
    <pivotField showAll="0"/>
    <pivotField dataField="1" showAll="0"/>
    <pivotField showAll="0"/>
    <pivotField showAll="0"/>
    <pivotField showAll="0"/>
    <pivotField showAll="0"/>
    <pivotField showAll="0"/>
    <pivotField dataField="1" showAll="0"/>
  </pivotFields>
  <rowFields count="1">
    <field x="0"/>
  </rowFields>
  <rowItems count="8">
    <i>
      <x/>
    </i>
    <i>
      <x v="1"/>
    </i>
    <i>
      <x v="2"/>
    </i>
    <i>
      <x v="3"/>
    </i>
    <i>
      <x v="4"/>
    </i>
    <i>
      <x v="5"/>
    </i>
    <i>
      <x v="6"/>
    </i>
    <i t="grand">
      <x/>
    </i>
  </rowItems>
  <colFields count="1">
    <field x="-2"/>
  </colFields>
  <colItems count="2">
    <i>
      <x/>
    </i>
    <i i="1">
      <x v="1"/>
    </i>
  </colItems>
  <pageFields count="1">
    <pageField fld="1" hier="-1"/>
  </pageFields>
  <dataFields count="2">
    <dataField name="Sum of RPE " fld="4" baseField="0" baseItem="0"/>
    <dataField name="Sum of Daily Load" fld="10" baseField="0" baseItem="0"/>
  </dataFields>
  <formats count="9">
    <format dxfId="27">
      <pivotArea type="all" dataOnly="0" outline="0" fieldPosition="0"/>
    </format>
    <format dxfId="26">
      <pivotArea outline="0" collapsedLevelsAreSubtotals="1" fieldPosition="0"/>
    </format>
    <format dxfId="25">
      <pivotArea field="0" type="button" dataOnly="0" labelOnly="1" outline="0" axis="axisRow" fieldPosition="0"/>
    </format>
    <format dxfId="24">
      <pivotArea dataOnly="0" labelOnly="1" fieldPosition="0">
        <references count="1">
          <reference field="0" count="0"/>
        </references>
      </pivotArea>
    </format>
    <format dxfId="23">
      <pivotArea dataOnly="0" labelOnly="1" grandRow="1" outline="0" fieldPosition="0"/>
    </format>
    <format dxfId="22">
      <pivotArea dataOnly="0" labelOnly="1" outline="0" fieldPosition="0">
        <references count="1">
          <reference field="4294967294" count="2">
            <x v="0"/>
            <x v="1"/>
          </reference>
        </references>
      </pivotArea>
    </format>
    <format dxfId="9">
      <pivotArea field="0" type="button" dataOnly="0" labelOnly="1" outline="0" axis="axisRow" fieldPosition="0"/>
    </format>
    <format dxfId="8">
      <pivotArea dataOnly="0" labelOnly="1" outline="0" fieldPosition="0">
        <references count="1">
          <reference field="4294967294" count="2">
            <x v="0"/>
            <x v="1"/>
          </reference>
        </references>
      </pivotArea>
    </format>
    <format dxfId="7">
      <pivotArea dataOnly="0" grandRow="1" axis="axisRow" fieldPosition="0"/>
    </format>
  </formats>
  <chartFormats count="2">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A46087FB-A1B0-48AB-BC56-3425853BF88B}" name="PivotTable11" cacheId="2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rowHeaderCaption="Athlete's Names">
  <location ref="A9:D20" firstHeaderRow="0" firstDataRow="1" firstDataCol="1" rowPageCount="1" colPageCount="1"/>
  <pivotFields count="11">
    <pivotField axis="axisPage" showAll="0">
      <items count="8">
        <item x="0"/>
        <item x="1"/>
        <item x="2"/>
        <item x="3"/>
        <item x="4"/>
        <item x="5"/>
        <item x="6"/>
        <item t="default"/>
      </items>
    </pivotField>
    <pivotField axis="axisRow" showAll="0">
      <items count="11">
        <item x="0"/>
        <item x="1"/>
        <item x="2"/>
        <item x="3"/>
        <item x="4"/>
        <item x="5"/>
        <item x="6"/>
        <item x="7"/>
        <item x="8"/>
        <item x="9"/>
        <item t="default"/>
      </items>
    </pivotField>
    <pivotField showAll="0"/>
    <pivotField showAll="0"/>
    <pivotField dataField="1" showAll="0"/>
    <pivotField showAll="0"/>
    <pivotField showAll="0"/>
    <pivotField showAll="0"/>
    <pivotField dataField="1" showAll="0"/>
    <pivotField showAll="0"/>
    <pivotField dataField="1" showAll="0"/>
  </pivotFields>
  <rowFields count="1">
    <field x="1"/>
  </rowFields>
  <rowItems count="11">
    <i>
      <x/>
    </i>
    <i>
      <x v="1"/>
    </i>
    <i>
      <x v="2"/>
    </i>
    <i>
      <x v="3"/>
    </i>
    <i>
      <x v="4"/>
    </i>
    <i>
      <x v="5"/>
    </i>
    <i>
      <x v="6"/>
    </i>
    <i>
      <x v="7"/>
    </i>
    <i>
      <x v="8"/>
    </i>
    <i>
      <x v="9"/>
    </i>
    <i t="grand">
      <x/>
    </i>
  </rowItems>
  <colFields count="1">
    <field x="-2"/>
  </colFields>
  <colItems count="3">
    <i>
      <x/>
    </i>
    <i i="1">
      <x v="1"/>
    </i>
    <i i="2">
      <x v="2"/>
    </i>
  </colItems>
  <pageFields count="1">
    <pageField fld="0" hier="-1"/>
  </pageFields>
  <dataFields count="3">
    <dataField name="Sum of RPE" fld="8" baseField="0" baseItem="0"/>
    <dataField name="Sum of RPE2" fld="4" baseField="0" baseItem="0"/>
    <dataField name="Average Daily Load" fld="10" baseField="0" baseItem="0"/>
  </dataFields>
  <formats count="10">
    <format dxfId="21">
      <pivotArea type="all" dataOnly="0" outline="0" fieldPosition="0"/>
    </format>
    <format dxfId="20">
      <pivotArea outline="0" collapsedLevelsAreSubtotals="1" fieldPosition="0"/>
    </format>
    <format dxfId="19">
      <pivotArea field="1" type="button" dataOnly="0" labelOnly="1" outline="0" axis="axisRow" fieldPosition="0"/>
    </format>
    <format dxfId="18">
      <pivotArea dataOnly="0" labelOnly="1" fieldPosition="0">
        <references count="1">
          <reference field="1" count="0"/>
        </references>
      </pivotArea>
    </format>
    <format dxfId="17">
      <pivotArea dataOnly="0" labelOnly="1" grandRow="1" outline="0" fieldPosition="0"/>
    </format>
    <format dxfId="16">
      <pivotArea dataOnly="0" labelOnly="1" outline="0" fieldPosition="0">
        <references count="1">
          <reference field="4294967294" count="3">
            <x v="0"/>
            <x v="1"/>
            <x v="2"/>
          </reference>
        </references>
      </pivotArea>
    </format>
    <format dxfId="15">
      <pivotArea grandRow="1" outline="0" collapsedLevelsAreSubtotals="1" fieldPosition="0"/>
    </format>
    <format dxfId="13">
      <pivotArea dataOnly="0" labelOnly="1" grandRow="1" outline="0" fieldPosition="0"/>
    </format>
    <format dxfId="11">
      <pivotArea field="1" type="button" dataOnly="0" labelOnly="1" outline="0" axis="axisRow" fieldPosition="0"/>
    </format>
    <format dxfId="10">
      <pivotArea dataOnly="0" labelOnly="1" outline="0" fieldPosition="0">
        <references count="1">
          <reference field="4294967294" count="3">
            <x v="0"/>
            <x v="1"/>
            <x v="2"/>
          </reference>
        </references>
      </pivotArea>
    </format>
  </formats>
  <chartFormats count="6">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 chart="0" format="3">
      <pivotArea type="data" outline="0" fieldPosition="0">
        <references count="2">
          <reference field="4294967294" count="1" selected="0">
            <x v="0"/>
          </reference>
          <reference field="1" count="1" selected="0">
            <x v="9"/>
          </reference>
        </references>
      </pivotArea>
    </chartFormat>
    <chartFormat chart="0" format="4">
      <pivotArea type="data" outline="0" fieldPosition="0">
        <references count="2">
          <reference field="4294967294" count="1" selected="0">
            <x v="1"/>
          </reference>
          <reference field="1" count="1" selected="0">
            <x v="9"/>
          </reference>
        </references>
      </pivotArea>
    </chartFormat>
    <chartFormat chart="0" format="5">
      <pivotArea type="data" outline="0" fieldPosition="0">
        <references count="2">
          <reference field="4294967294" count="1" selected="0">
            <x v="2"/>
          </reference>
          <reference field="1" count="1" selected="0">
            <x v="9"/>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ys" xr10:uid="{A9CEEEA6-0948-43AC-A144-35C2D56BF5B9}" sourceName="Days">
  <pivotTables>
    <pivotTable tabId="5" name="PivotTable11"/>
  </pivotTables>
  <data>
    <tabular pivotCacheId="1090890352">
      <items count="7">
        <i x="0" s="1"/>
        <i x="1" s="1"/>
        <i x="2" s="1"/>
        <i x="3" s="1"/>
        <i x="4" s="1"/>
        <i x="5" s="1"/>
        <i x="6"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thlete_s_names" xr10:uid="{5F0858D9-AB02-480E-A365-1730C40B54C3}" sourceName="Athlete's names">
  <pivotTables>
    <pivotTable tabId="5" name="PivotTable12"/>
  </pivotTables>
  <data>
    <tabular pivotCacheId="1090890352">
      <items count="10">
        <i x="0" s="1"/>
        <i x="1" s="1"/>
        <i x="2" s="1"/>
        <i x="3" s="1"/>
        <i x="4" s="1"/>
        <i x="5" s="1"/>
        <i x="6" s="1"/>
        <i x="7" s="1"/>
        <i x="8" s="1"/>
        <i x="9"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ays" xr10:uid="{BD798B9E-3053-45B9-929D-46264F35F6B4}" cache="Slicer_Days" caption="Days" columnCount="7" rowHeight="241300"/>
  <slicer name="Athlete's names" xr10:uid="{12FB61D8-CF6D-422F-B34D-609CE3320334}" cache="Slicer_Athlete_s_names" caption="Athlete's names" columnCount="10"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3" Type="http://schemas.openxmlformats.org/officeDocument/2006/relationships/pivotTable" Target="../pivotTables/pivotTable4.xml"/><Relationship Id="rId2" Type="http://schemas.openxmlformats.org/officeDocument/2006/relationships/pivotTable" Target="../pivotTables/pivotTable3.xml"/><Relationship Id="rId1" Type="http://schemas.openxmlformats.org/officeDocument/2006/relationships/pivotTable" Target="../pivotTables/pivotTable2.xml"/><Relationship Id="rId6" Type="http://schemas.microsoft.com/office/2007/relationships/slicer" Target="../slicers/slicer1.xml"/><Relationship Id="rId5" Type="http://schemas.openxmlformats.org/officeDocument/2006/relationships/drawing" Target="../drawings/drawing1.xml"/><Relationship Id="rId4" Type="http://schemas.openxmlformats.org/officeDocument/2006/relationships/pivotTable" Target="../pivotTables/pivotTable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F38BBD-A839-4E0D-8058-077E6B68E73E}">
  <dimension ref="A1:A11"/>
  <sheetViews>
    <sheetView workbookViewId="0">
      <selection activeCell="F10" sqref="F10"/>
    </sheetView>
  </sheetViews>
  <sheetFormatPr defaultRowHeight="14.5" x14ac:dyDescent="0.35"/>
  <sheetData>
    <row r="1" spans="1:1" x14ac:dyDescent="0.35">
      <c r="A1" t="s">
        <v>52</v>
      </c>
    </row>
    <row r="2" spans="1:1" x14ac:dyDescent="0.35">
      <c r="A2" t="s">
        <v>54</v>
      </c>
    </row>
    <row r="3" spans="1:1" x14ac:dyDescent="0.35">
      <c r="A3" t="s">
        <v>53</v>
      </c>
    </row>
    <row r="4" spans="1:1" x14ac:dyDescent="0.35">
      <c r="A4" t="s">
        <v>55</v>
      </c>
    </row>
    <row r="5" spans="1:1" x14ac:dyDescent="0.35">
      <c r="A5" t="s">
        <v>56</v>
      </c>
    </row>
    <row r="6" spans="1:1" x14ac:dyDescent="0.35">
      <c r="A6" t="s">
        <v>57</v>
      </c>
    </row>
    <row r="7" spans="1:1" x14ac:dyDescent="0.35">
      <c r="A7" t="s">
        <v>58</v>
      </c>
    </row>
    <row r="8" spans="1:1" x14ac:dyDescent="0.35">
      <c r="A8" t="s">
        <v>59</v>
      </c>
    </row>
    <row r="9" spans="1:1" x14ac:dyDescent="0.35">
      <c r="A9" t="s">
        <v>60</v>
      </c>
    </row>
    <row r="10" spans="1:1" x14ac:dyDescent="0.35">
      <c r="A10" t="s">
        <v>61</v>
      </c>
    </row>
    <row r="11" spans="1:1" x14ac:dyDescent="0.35">
      <c r="A11" t="s">
        <v>62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E55DA1-B909-4228-BEA8-36BECC686DBF}">
  <dimension ref="A1:K71"/>
  <sheetViews>
    <sheetView topLeftCell="A3" workbookViewId="0">
      <selection activeCell="M20" sqref="M20"/>
    </sheetView>
  </sheetViews>
  <sheetFormatPr defaultRowHeight="14.5" x14ac:dyDescent="0.35"/>
  <cols>
    <col min="2" max="2" width="14.1796875" bestFit="1" customWidth="1"/>
  </cols>
  <sheetData>
    <row r="1" spans="1:11" x14ac:dyDescent="0.35">
      <c r="A1" s="21" t="s">
        <v>65</v>
      </c>
      <c r="B1" s="21" t="s">
        <v>52</v>
      </c>
      <c r="C1" s="21" t="s">
        <v>7</v>
      </c>
      <c r="D1" s="21" t="s">
        <v>9</v>
      </c>
      <c r="E1" s="21" t="s">
        <v>66</v>
      </c>
      <c r="F1" s="21" t="s">
        <v>10</v>
      </c>
      <c r="G1" s="21" t="s">
        <v>67</v>
      </c>
      <c r="H1" s="21" t="s">
        <v>68</v>
      </c>
      <c r="I1" s="21" t="s">
        <v>85</v>
      </c>
      <c r="J1" s="21" t="s">
        <v>69</v>
      </c>
      <c r="K1" s="21" t="s">
        <v>11</v>
      </c>
    </row>
    <row r="2" spans="1:11" x14ac:dyDescent="0.35">
      <c r="A2" t="s">
        <v>70</v>
      </c>
      <c r="B2" t="s">
        <v>54</v>
      </c>
      <c r="C2" t="s">
        <v>77</v>
      </c>
      <c r="D2" s="5">
        <v>45</v>
      </c>
      <c r="E2" s="5">
        <v>9</v>
      </c>
      <c r="F2" s="5">
        <f>D2*E2</f>
        <v>405</v>
      </c>
      <c r="G2" t="s">
        <v>79</v>
      </c>
      <c r="H2">
        <v>0</v>
      </c>
      <c r="I2">
        <v>0</v>
      </c>
      <c r="J2">
        <f>H2*I2</f>
        <v>0</v>
      </c>
      <c r="K2">
        <f>SUM(F2,J2)</f>
        <v>405</v>
      </c>
    </row>
    <row r="3" spans="1:11" x14ac:dyDescent="0.35">
      <c r="A3" t="s">
        <v>70</v>
      </c>
      <c r="B3" t="s">
        <v>53</v>
      </c>
      <c r="C3" t="s">
        <v>77</v>
      </c>
      <c r="D3" s="5">
        <v>45</v>
      </c>
      <c r="E3" s="5">
        <v>8</v>
      </c>
      <c r="F3" s="5">
        <f t="shared" ref="F3:F66" si="0">D3*E3</f>
        <v>360</v>
      </c>
      <c r="G3" t="s">
        <v>79</v>
      </c>
      <c r="H3">
        <v>0</v>
      </c>
      <c r="I3">
        <v>0</v>
      </c>
      <c r="J3">
        <f t="shared" ref="J3:J66" si="1">H3*I3</f>
        <v>0</v>
      </c>
      <c r="K3">
        <f t="shared" ref="K3:K66" si="2">SUM(F3,J3)</f>
        <v>360</v>
      </c>
    </row>
    <row r="4" spans="1:11" x14ac:dyDescent="0.35">
      <c r="A4" t="s">
        <v>70</v>
      </c>
      <c r="B4" t="s">
        <v>55</v>
      </c>
      <c r="C4" t="s">
        <v>77</v>
      </c>
      <c r="D4" s="5">
        <v>45</v>
      </c>
      <c r="E4" s="5">
        <v>7</v>
      </c>
      <c r="F4" s="5">
        <f t="shared" si="0"/>
        <v>315</v>
      </c>
      <c r="G4" t="s">
        <v>79</v>
      </c>
      <c r="H4">
        <v>0</v>
      </c>
      <c r="I4">
        <v>0</v>
      </c>
      <c r="J4">
        <f t="shared" si="1"/>
        <v>0</v>
      </c>
      <c r="K4">
        <f t="shared" si="2"/>
        <v>315</v>
      </c>
    </row>
    <row r="5" spans="1:11" x14ac:dyDescent="0.35">
      <c r="A5" t="s">
        <v>70</v>
      </c>
      <c r="B5" t="s">
        <v>56</v>
      </c>
      <c r="C5" t="s">
        <v>77</v>
      </c>
      <c r="D5" s="5">
        <v>45</v>
      </c>
      <c r="E5" s="5">
        <v>6</v>
      </c>
      <c r="F5" s="5">
        <f t="shared" si="0"/>
        <v>270</v>
      </c>
      <c r="G5" t="s">
        <v>79</v>
      </c>
      <c r="H5">
        <v>0</v>
      </c>
      <c r="I5">
        <v>0</v>
      </c>
      <c r="J5">
        <f t="shared" si="1"/>
        <v>0</v>
      </c>
      <c r="K5">
        <f t="shared" si="2"/>
        <v>270</v>
      </c>
    </row>
    <row r="6" spans="1:11" x14ac:dyDescent="0.35">
      <c r="A6" t="s">
        <v>70</v>
      </c>
      <c r="B6" t="s">
        <v>57</v>
      </c>
      <c r="C6" t="s">
        <v>77</v>
      </c>
      <c r="D6" s="5">
        <v>45</v>
      </c>
      <c r="E6" s="5">
        <v>9</v>
      </c>
      <c r="F6" s="5">
        <f t="shared" si="0"/>
        <v>405</v>
      </c>
      <c r="G6" t="s">
        <v>79</v>
      </c>
      <c r="H6">
        <v>0</v>
      </c>
      <c r="I6">
        <v>0</v>
      </c>
      <c r="J6">
        <f t="shared" si="1"/>
        <v>0</v>
      </c>
      <c r="K6">
        <f t="shared" si="2"/>
        <v>405</v>
      </c>
    </row>
    <row r="7" spans="1:11" x14ac:dyDescent="0.35">
      <c r="A7" t="s">
        <v>70</v>
      </c>
      <c r="B7" t="s">
        <v>58</v>
      </c>
      <c r="C7" t="s">
        <v>77</v>
      </c>
      <c r="D7" s="5">
        <v>45</v>
      </c>
      <c r="E7" s="5">
        <v>8</v>
      </c>
      <c r="F7" s="5">
        <f t="shared" si="0"/>
        <v>360</v>
      </c>
      <c r="G7" t="s">
        <v>79</v>
      </c>
      <c r="H7">
        <v>0</v>
      </c>
      <c r="I7">
        <v>0</v>
      </c>
      <c r="J7">
        <f t="shared" si="1"/>
        <v>0</v>
      </c>
      <c r="K7">
        <f t="shared" si="2"/>
        <v>360</v>
      </c>
    </row>
    <row r="8" spans="1:11" x14ac:dyDescent="0.35">
      <c r="A8" t="s">
        <v>70</v>
      </c>
      <c r="B8" t="s">
        <v>59</v>
      </c>
      <c r="C8" t="s">
        <v>77</v>
      </c>
      <c r="D8" s="5">
        <v>45</v>
      </c>
      <c r="E8" s="5">
        <v>7</v>
      </c>
      <c r="F8" s="5">
        <f t="shared" si="0"/>
        <v>315</v>
      </c>
      <c r="G8" t="s">
        <v>79</v>
      </c>
      <c r="H8">
        <v>0</v>
      </c>
      <c r="I8">
        <v>0</v>
      </c>
      <c r="J8">
        <f t="shared" si="1"/>
        <v>0</v>
      </c>
      <c r="K8">
        <f t="shared" si="2"/>
        <v>315</v>
      </c>
    </row>
    <row r="9" spans="1:11" x14ac:dyDescent="0.35">
      <c r="A9" t="s">
        <v>70</v>
      </c>
      <c r="B9" t="s">
        <v>60</v>
      </c>
      <c r="C9" t="s">
        <v>77</v>
      </c>
      <c r="D9" s="5">
        <v>45</v>
      </c>
      <c r="E9" s="5">
        <v>6</v>
      </c>
      <c r="F9" s="5">
        <f t="shared" si="0"/>
        <v>270</v>
      </c>
      <c r="G9" t="s">
        <v>79</v>
      </c>
      <c r="H9">
        <v>0</v>
      </c>
      <c r="I9">
        <v>0</v>
      </c>
      <c r="J9">
        <f t="shared" si="1"/>
        <v>0</v>
      </c>
      <c r="K9">
        <f t="shared" si="2"/>
        <v>270</v>
      </c>
    </row>
    <row r="10" spans="1:11" x14ac:dyDescent="0.35">
      <c r="A10" t="s">
        <v>70</v>
      </c>
      <c r="B10" t="s">
        <v>61</v>
      </c>
      <c r="C10" t="s">
        <v>77</v>
      </c>
      <c r="D10" s="5">
        <v>45</v>
      </c>
      <c r="E10" s="5">
        <v>6</v>
      </c>
      <c r="F10" s="5">
        <f t="shared" si="0"/>
        <v>270</v>
      </c>
      <c r="G10" t="s">
        <v>79</v>
      </c>
      <c r="H10">
        <v>0</v>
      </c>
      <c r="I10">
        <v>0</v>
      </c>
      <c r="J10">
        <f t="shared" si="1"/>
        <v>0</v>
      </c>
      <c r="K10">
        <f t="shared" si="2"/>
        <v>270</v>
      </c>
    </row>
    <row r="11" spans="1:11" x14ac:dyDescent="0.35">
      <c r="A11" t="s">
        <v>70</v>
      </c>
      <c r="B11" t="s">
        <v>62</v>
      </c>
      <c r="C11" t="s">
        <v>77</v>
      </c>
      <c r="D11" s="5">
        <v>45</v>
      </c>
      <c r="E11" s="5">
        <v>9</v>
      </c>
      <c r="F11" s="5">
        <f t="shared" si="0"/>
        <v>405</v>
      </c>
      <c r="G11" t="s">
        <v>79</v>
      </c>
      <c r="H11">
        <v>0</v>
      </c>
      <c r="I11">
        <v>0</v>
      </c>
      <c r="J11">
        <f t="shared" si="1"/>
        <v>0</v>
      </c>
      <c r="K11">
        <f t="shared" si="2"/>
        <v>405</v>
      </c>
    </row>
    <row r="12" spans="1:11" x14ac:dyDescent="0.35">
      <c r="A12" t="s">
        <v>71</v>
      </c>
      <c r="B12" t="s">
        <v>54</v>
      </c>
      <c r="C12" t="s">
        <v>77</v>
      </c>
      <c r="D12" s="5">
        <v>45</v>
      </c>
      <c r="E12" s="5">
        <v>9</v>
      </c>
      <c r="F12" s="5">
        <f t="shared" si="0"/>
        <v>405</v>
      </c>
      <c r="G12" s="5" t="s">
        <v>14</v>
      </c>
      <c r="H12" s="5">
        <v>60</v>
      </c>
      <c r="I12" s="5">
        <v>9</v>
      </c>
      <c r="J12">
        <f t="shared" si="1"/>
        <v>540</v>
      </c>
      <c r="K12">
        <f t="shared" si="2"/>
        <v>945</v>
      </c>
    </row>
    <row r="13" spans="1:11" x14ac:dyDescent="0.35">
      <c r="A13" t="s">
        <v>71</v>
      </c>
      <c r="B13" t="s">
        <v>53</v>
      </c>
      <c r="C13" t="s">
        <v>77</v>
      </c>
      <c r="D13" s="5">
        <v>45</v>
      </c>
      <c r="E13" s="5">
        <v>8</v>
      </c>
      <c r="F13" s="5">
        <f t="shared" si="0"/>
        <v>360</v>
      </c>
      <c r="G13" s="5" t="s">
        <v>14</v>
      </c>
      <c r="H13" s="5">
        <v>60</v>
      </c>
      <c r="I13" s="5">
        <v>8</v>
      </c>
      <c r="J13">
        <f t="shared" si="1"/>
        <v>480</v>
      </c>
      <c r="K13">
        <f t="shared" si="2"/>
        <v>840</v>
      </c>
    </row>
    <row r="14" spans="1:11" x14ac:dyDescent="0.35">
      <c r="A14" t="s">
        <v>71</v>
      </c>
      <c r="B14" t="s">
        <v>55</v>
      </c>
      <c r="C14" t="s">
        <v>77</v>
      </c>
      <c r="D14" s="5">
        <v>45</v>
      </c>
      <c r="E14" s="5">
        <v>8</v>
      </c>
      <c r="F14" s="5">
        <f t="shared" si="0"/>
        <v>360</v>
      </c>
      <c r="G14" s="5" t="s">
        <v>14</v>
      </c>
      <c r="H14" s="5">
        <v>60</v>
      </c>
      <c r="I14" s="5">
        <v>7</v>
      </c>
      <c r="J14">
        <f t="shared" si="1"/>
        <v>420</v>
      </c>
      <c r="K14">
        <f t="shared" si="2"/>
        <v>780</v>
      </c>
    </row>
    <row r="15" spans="1:11" x14ac:dyDescent="0.35">
      <c r="A15" t="s">
        <v>71</v>
      </c>
      <c r="B15" t="s">
        <v>56</v>
      </c>
      <c r="C15" t="s">
        <v>77</v>
      </c>
      <c r="D15" s="5">
        <v>45</v>
      </c>
      <c r="E15" s="5">
        <v>7</v>
      </c>
      <c r="F15" s="5">
        <f t="shared" si="0"/>
        <v>315</v>
      </c>
      <c r="G15" s="5" t="s">
        <v>14</v>
      </c>
      <c r="H15" s="5">
        <v>60</v>
      </c>
      <c r="I15" s="5">
        <v>6</v>
      </c>
      <c r="J15">
        <f t="shared" si="1"/>
        <v>360</v>
      </c>
      <c r="K15">
        <f t="shared" si="2"/>
        <v>675</v>
      </c>
    </row>
    <row r="16" spans="1:11" x14ac:dyDescent="0.35">
      <c r="A16" t="s">
        <v>71</v>
      </c>
      <c r="B16" t="s">
        <v>57</v>
      </c>
      <c r="C16" t="s">
        <v>77</v>
      </c>
      <c r="D16" s="5">
        <v>45</v>
      </c>
      <c r="E16" s="5">
        <v>7</v>
      </c>
      <c r="F16" s="5">
        <f t="shared" si="0"/>
        <v>315</v>
      </c>
      <c r="G16" s="5" t="s">
        <v>14</v>
      </c>
      <c r="H16" s="5">
        <v>60</v>
      </c>
      <c r="I16" s="5">
        <v>9</v>
      </c>
      <c r="J16">
        <f t="shared" si="1"/>
        <v>540</v>
      </c>
      <c r="K16">
        <f t="shared" si="2"/>
        <v>855</v>
      </c>
    </row>
    <row r="17" spans="1:11" x14ac:dyDescent="0.35">
      <c r="A17" t="s">
        <v>71</v>
      </c>
      <c r="B17" t="s">
        <v>58</v>
      </c>
      <c r="C17" t="s">
        <v>77</v>
      </c>
      <c r="D17" s="5">
        <v>45</v>
      </c>
      <c r="E17" s="5">
        <v>6</v>
      </c>
      <c r="F17" s="5">
        <f t="shared" si="0"/>
        <v>270</v>
      </c>
      <c r="G17" s="5" t="s">
        <v>14</v>
      </c>
      <c r="H17" s="5">
        <v>60</v>
      </c>
      <c r="I17" s="5">
        <v>8</v>
      </c>
      <c r="J17">
        <f t="shared" si="1"/>
        <v>480</v>
      </c>
      <c r="K17">
        <f t="shared" si="2"/>
        <v>750</v>
      </c>
    </row>
    <row r="18" spans="1:11" x14ac:dyDescent="0.35">
      <c r="A18" t="s">
        <v>71</v>
      </c>
      <c r="B18" t="s">
        <v>59</v>
      </c>
      <c r="C18" t="s">
        <v>77</v>
      </c>
      <c r="D18" s="5">
        <v>45</v>
      </c>
      <c r="E18" s="5">
        <v>6</v>
      </c>
      <c r="F18" s="5">
        <f t="shared" si="0"/>
        <v>270</v>
      </c>
      <c r="G18" s="5" t="s">
        <v>14</v>
      </c>
      <c r="H18" s="5">
        <v>60</v>
      </c>
      <c r="I18" s="5">
        <v>7</v>
      </c>
      <c r="J18">
        <f t="shared" si="1"/>
        <v>420</v>
      </c>
      <c r="K18">
        <f t="shared" si="2"/>
        <v>690</v>
      </c>
    </row>
    <row r="19" spans="1:11" x14ac:dyDescent="0.35">
      <c r="A19" t="s">
        <v>71</v>
      </c>
      <c r="B19" t="s">
        <v>60</v>
      </c>
      <c r="C19" t="s">
        <v>77</v>
      </c>
      <c r="D19" s="5">
        <v>45</v>
      </c>
      <c r="E19" s="5">
        <v>9</v>
      </c>
      <c r="F19" s="5">
        <f t="shared" si="0"/>
        <v>405</v>
      </c>
      <c r="G19" s="5" t="s">
        <v>14</v>
      </c>
      <c r="H19" s="5">
        <v>60</v>
      </c>
      <c r="I19" s="5">
        <v>6</v>
      </c>
      <c r="J19">
        <f t="shared" si="1"/>
        <v>360</v>
      </c>
      <c r="K19">
        <f t="shared" si="2"/>
        <v>765</v>
      </c>
    </row>
    <row r="20" spans="1:11" x14ac:dyDescent="0.35">
      <c r="A20" t="s">
        <v>71</v>
      </c>
      <c r="B20" t="s">
        <v>61</v>
      </c>
      <c r="C20" t="s">
        <v>77</v>
      </c>
      <c r="D20" s="5">
        <v>45</v>
      </c>
      <c r="E20" s="5">
        <v>8</v>
      </c>
      <c r="F20" s="5">
        <f t="shared" si="0"/>
        <v>360</v>
      </c>
      <c r="G20" s="5" t="s">
        <v>14</v>
      </c>
      <c r="H20" s="5">
        <v>60</v>
      </c>
      <c r="I20" s="5">
        <v>6</v>
      </c>
      <c r="J20">
        <f t="shared" si="1"/>
        <v>360</v>
      </c>
      <c r="K20">
        <f t="shared" si="2"/>
        <v>720</v>
      </c>
    </row>
    <row r="21" spans="1:11" x14ac:dyDescent="0.35">
      <c r="A21" t="s">
        <v>71</v>
      </c>
      <c r="B21" t="s">
        <v>62</v>
      </c>
      <c r="C21" t="s">
        <v>77</v>
      </c>
      <c r="D21" s="5">
        <v>45</v>
      </c>
      <c r="E21" s="5">
        <v>7</v>
      </c>
      <c r="F21" s="5">
        <f t="shared" si="0"/>
        <v>315</v>
      </c>
      <c r="G21" s="5" t="s">
        <v>14</v>
      </c>
      <c r="H21" s="5">
        <v>60</v>
      </c>
      <c r="I21" s="5">
        <v>9</v>
      </c>
      <c r="J21">
        <f t="shared" si="1"/>
        <v>540</v>
      </c>
      <c r="K21">
        <f t="shared" si="2"/>
        <v>855</v>
      </c>
    </row>
    <row r="22" spans="1:11" x14ac:dyDescent="0.35">
      <c r="A22" t="s">
        <v>72</v>
      </c>
      <c r="B22" t="s">
        <v>54</v>
      </c>
      <c r="C22" t="s">
        <v>77</v>
      </c>
      <c r="D22" s="5">
        <v>45</v>
      </c>
      <c r="E22" s="5">
        <v>6</v>
      </c>
      <c r="F22" s="5">
        <f t="shared" si="0"/>
        <v>270</v>
      </c>
      <c r="G22" s="5" t="s">
        <v>17</v>
      </c>
      <c r="H22" s="5">
        <v>75</v>
      </c>
      <c r="I22" s="5">
        <v>9</v>
      </c>
      <c r="J22">
        <f t="shared" si="1"/>
        <v>675</v>
      </c>
      <c r="K22">
        <f t="shared" si="2"/>
        <v>945</v>
      </c>
    </row>
    <row r="23" spans="1:11" x14ac:dyDescent="0.35">
      <c r="A23" t="s">
        <v>72</v>
      </c>
      <c r="B23" t="s">
        <v>53</v>
      </c>
      <c r="C23" t="s">
        <v>77</v>
      </c>
      <c r="D23" s="5">
        <v>45</v>
      </c>
      <c r="E23" s="5">
        <v>6</v>
      </c>
      <c r="F23" s="5">
        <f t="shared" si="0"/>
        <v>270</v>
      </c>
      <c r="G23" s="5" t="s">
        <v>17</v>
      </c>
      <c r="H23" s="5">
        <v>75</v>
      </c>
      <c r="I23" s="5">
        <v>8</v>
      </c>
      <c r="J23">
        <f t="shared" si="1"/>
        <v>600</v>
      </c>
      <c r="K23">
        <f t="shared" si="2"/>
        <v>870</v>
      </c>
    </row>
    <row r="24" spans="1:11" x14ac:dyDescent="0.35">
      <c r="A24" t="s">
        <v>72</v>
      </c>
      <c r="B24" t="s">
        <v>55</v>
      </c>
      <c r="C24" t="s">
        <v>77</v>
      </c>
      <c r="D24" s="5">
        <v>45</v>
      </c>
      <c r="E24" s="5">
        <v>9</v>
      </c>
      <c r="F24" s="5">
        <f t="shared" si="0"/>
        <v>405</v>
      </c>
      <c r="G24" s="5" t="s">
        <v>17</v>
      </c>
      <c r="H24" s="5">
        <v>75</v>
      </c>
      <c r="I24" s="5">
        <v>8</v>
      </c>
      <c r="J24">
        <f t="shared" si="1"/>
        <v>600</v>
      </c>
      <c r="K24">
        <f t="shared" si="2"/>
        <v>1005</v>
      </c>
    </row>
    <row r="25" spans="1:11" x14ac:dyDescent="0.35">
      <c r="A25" t="s">
        <v>72</v>
      </c>
      <c r="B25" t="s">
        <v>56</v>
      </c>
      <c r="C25" t="s">
        <v>77</v>
      </c>
      <c r="D25" s="5">
        <v>45</v>
      </c>
      <c r="E25" s="5">
        <v>8</v>
      </c>
      <c r="F25" s="5">
        <f t="shared" si="0"/>
        <v>360</v>
      </c>
      <c r="G25" s="5" t="s">
        <v>17</v>
      </c>
      <c r="H25" s="5">
        <v>75</v>
      </c>
      <c r="I25" s="5">
        <v>7</v>
      </c>
      <c r="J25">
        <f t="shared" si="1"/>
        <v>525</v>
      </c>
      <c r="K25">
        <f t="shared" si="2"/>
        <v>885</v>
      </c>
    </row>
    <row r="26" spans="1:11" x14ac:dyDescent="0.35">
      <c r="A26" t="s">
        <v>72</v>
      </c>
      <c r="B26" t="s">
        <v>57</v>
      </c>
      <c r="C26" t="s">
        <v>77</v>
      </c>
      <c r="D26" s="5">
        <v>45</v>
      </c>
      <c r="E26" s="5">
        <v>7</v>
      </c>
      <c r="F26" s="5">
        <f t="shared" si="0"/>
        <v>315</v>
      </c>
      <c r="G26" s="5" t="s">
        <v>17</v>
      </c>
      <c r="H26" s="5">
        <v>75</v>
      </c>
      <c r="I26" s="5">
        <v>7</v>
      </c>
      <c r="J26">
        <f t="shared" si="1"/>
        <v>525</v>
      </c>
      <c r="K26">
        <f t="shared" si="2"/>
        <v>840</v>
      </c>
    </row>
    <row r="27" spans="1:11" x14ac:dyDescent="0.35">
      <c r="A27" t="s">
        <v>72</v>
      </c>
      <c r="B27" t="s">
        <v>58</v>
      </c>
      <c r="C27" t="s">
        <v>77</v>
      </c>
      <c r="D27" s="5">
        <v>45</v>
      </c>
      <c r="E27" s="5">
        <v>6</v>
      </c>
      <c r="F27" s="5">
        <f t="shared" si="0"/>
        <v>270</v>
      </c>
      <c r="G27" s="5" t="s">
        <v>17</v>
      </c>
      <c r="H27" s="5">
        <v>75</v>
      </c>
      <c r="I27" s="5">
        <v>6</v>
      </c>
      <c r="J27">
        <f t="shared" si="1"/>
        <v>450</v>
      </c>
      <c r="K27">
        <f t="shared" si="2"/>
        <v>720</v>
      </c>
    </row>
    <row r="28" spans="1:11" x14ac:dyDescent="0.35">
      <c r="A28" t="s">
        <v>72</v>
      </c>
      <c r="B28" t="s">
        <v>59</v>
      </c>
      <c r="C28" t="s">
        <v>77</v>
      </c>
      <c r="D28" s="5">
        <v>45</v>
      </c>
      <c r="E28" s="5">
        <v>6</v>
      </c>
      <c r="F28" s="5">
        <f t="shared" si="0"/>
        <v>270</v>
      </c>
      <c r="G28" s="5" t="s">
        <v>17</v>
      </c>
      <c r="H28" s="5">
        <v>75</v>
      </c>
      <c r="I28" s="5">
        <v>6</v>
      </c>
      <c r="J28">
        <f t="shared" si="1"/>
        <v>450</v>
      </c>
      <c r="K28">
        <f t="shared" si="2"/>
        <v>720</v>
      </c>
    </row>
    <row r="29" spans="1:11" x14ac:dyDescent="0.35">
      <c r="A29" t="s">
        <v>72</v>
      </c>
      <c r="B29" t="s">
        <v>60</v>
      </c>
      <c r="C29" t="s">
        <v>77</v>
      </c>
      <c r="D29" s="5">
        <v>45</v>
      </c>
      <c r="E29" s="5">
        <v>9</v>
      </c>
      <c r="F29" s="5">
        <f t="shared" si="0"/>
        <v>405</v>
      </c>
      <c r="G29" s="5" t="s">
        <v>17</v>
      </c>
      <c r="H29" s="5">
        <v>75</v>
      </c>
      <c r="I29" s="5">
        <v>9</v>
      </c>
      <c r="J29">
        <f t="shared" si="1"/>
        <v>675</v>
      </c>
      <c r="K29">
        <f t="shared" si="2"/>
        <v>1080</v>
      </c>
    </row>
    <row r="30" spans="1:11" x14ac:dyDescent="0.35">
      <c r="A30" t="s">
        <v>72</v>
      </c>
      <c r="B30" t="s">
        <v>61</v>
      </c>
      <c r="C30" t="s">
        <v>77</v>
      </c>
      <c r="D30" s="5">
        <v>45</v>
      </c>
      <c r="E30" s="5">
        <v>9</v>
      </c>
      <c r="F30" s="5">
        <f t="shared" si="0"/>
        <v>405</v>
      </c>
      <c r="G30" s="5" t="s">
        <v>17</v>
      </c>
      <c r="H30" s="5">
        <v>75</v>
      </c>
      <c r="I30" s="5">
        <v>8</v>
      </c>
      <c r="J30">
        <f t="shared" si="1"/>
        <v>600</v>
      </c>
      <c r="K30">
        <f t="shared" si="2"/>
        <v>1005</v>
      </c>
    </row>
    <row r="31" spans="1:11" x14ac:dyDescent="0.35">
      <c r="A31" t="s">
        <v>72</v>
      </c>
      <c r="B31" t="s">
        <v>62</v>
      </c>
      <c r="C31" t="s">
        <v>77</v>
      </c>
      <c r="D31" s="5">
        <v>45</v>
      </c>
      <c r="E31" s="5">
        <v>8</v>
      </c>
      <c r="F31" s="5">
        <f t="shared" si="0"/>
        <v>360</v>
      </c>
      <c r="G31" s="5" t="s">
        <v>17</v>
      </c>
      <c r="H31" s="5">
        <v>75</v>
      </c>
      <c r="I31" s="5">
        <v>7</v>
      </c>
      <c r="J31">
        <f t="shared" si="1"/>
        <v>525</v>
      </c>
      <c r="K31">
        <f t="shared" si="2"/>
        <v>885</v>
      </c>
    </row>
    <row r="32" spans="1:11" x14ac:dyDescent="0.35">
      <c r="A32" t="s">
        <v>73</v>
      </c>
      <c r="B32" t="s">
        <v>54</v>
      </c>
      <c r="C32" t="s">
        <v>78</v>
      </c>
      <c r="D32" s="5">
        <v>45</v>
      </c>
      <c r="E32" s="5">
        <v>8</v>
      </c>
      <c r="F32" s="5">
        <f t="shared" si="0"/>
        <v>360</v>
      </c>
      <c r="G32" s="5" t="s">
        <v>19</v>
      </c>
      <c r="H32" s="5">
        <v>45</v>
      </c>
      <c r="I32" s="5">
        <v>6</v>
      </c>
      <c r="J32">
        <f t="shared" si="1"/>
        <v>270</v>
      </c>
      <c r="K32">
        <f t="shared" si="2"/>
        <v>630</v>
      </c>
    </row>
    <row r="33" spans="1:11" x14ac:dyDescent="0.35">
      <c r="A33" t="s">
        <v>73</v>
      </c>
      <c r="B33" t="s">
        <v>53</v>
      </c>
      <c r="C33" t="s">
        <v>78</v>
      </c>
      <c r="D33" s="5">
        <v>45</v>
      </c>
      <c r="E33" s="5">
        <v>7</v>
      </c>
      <c r="F33" s="5">
        <f t="shared" si="0"/>
        <v>315</v>
      </c>
      <c r="G33" s="5" t="s">
        <v>19</v>
      </c>
      <c r="H33" s="5">
        <v>45</v>
      </c>
      <c r="I33" s="5">
        <v>6</v>
      </c>
      <c r="J33">
        <f t="shared" si="1"/>
        <v>270</v>
      </c>
      <c r="K33">
        <f t="shared" si="2"/>
        <v>585</v>
      </c>
    </row>
    <row r="34" spans="1:11" x14ac:dyDescent="0.35">
      <c r="A34" t="s">
        <v>73</v>
      </c>
      <c r="B34" t="s">
        <v>55</v>
      </c>
      <c r="C34" t="s">
        <v>78</v>
      </c>
      <c r="D34" s="5">
        <v>45</v>
      </c>
      <c r="E34" s="5">
        <v>7</v>
      </c>
      <c r="F34" s="5">
        <f t="shared" si="0"/>
        <v>315</v>
      </c>
      <c r="G34" s="5" t="s">
        <v>19</v>
      </c>
      <c r="H34" s="5">
        <v>45</v>
      </c>
      <c r="I34" s="5">
        <v>9</v>
      </c>
      <c r="J34">
        <f t="shared" si="1"/>
        <v>405</v>
      </c>
      <c r="K34">
        <f t="shared" si="2"/>
        <v>720</v>
      </c>
    </row>
    <row r="35" spans="1:11" x14ac:dyDescent="0.35">
      <c r="A35" t="s">
        <v>73</v>
      </c>
      <c r="B35" t="s">
        <v>56</v>
      </c>
      <c r="C35" t="s">
        <v>78</v>
      </c>
      <c r="D35" s="5">
        <v>45</v>
      </c>
      <c r="E35" s="5">
        <v>6</v>
      </c>
      <c r="F35" s="5">
        <f t="shared" si="0"/>
        <v>270</v>
      </c>
      <c r="G35" s="5" t="s">
        <v>19</v>
      </c>
      <c r="H35" s="5">
        <v>45</v>
      </c>
      <c r="I35" s="5">
        <v>8</v>
      </c>
      <c r="J35">
        <f t="shared" si="1"/>
        <v>360</v>
      </c>
      <c r="K35">
        <f t="shared" si="2"/>
        <v>630</v>
      </c>
    </row>
    <row r="36" spans="1:11" x14ac:dyDescent="0.35">
      <c r="A36" t="s">
        <v>73</v>
      </c>
      <c r="B36" t="s">
        <v>57</v>
      </c>
      <c r="C36" t="s">
        <v>78</v>
      </c>
      <c r="D36" s="5">
        <v>45</v>
      </c>
      <c r="E36" s="5">
        <v>6</v>
      </c>
      <c r="F36" s="5">
        <f t="shared" si="0"/>
        <v>270</v>
      </c>
      <c r="G36" s="5" t="s">
        <v>19</v>
      </c>
      <c r="H36" s="5">
        <v>45</v>
      </c>
      <c r="I36" s="5">
        <v>7</v>
      </c>
      <c r="J36">
        <f t="shared" si="1"/>
        <v>315</v>
      </c>
      <c r="K36">
        <f t="shared" si="2"/>
        <v>585</v>
      </c>
    </row>
    <row r="37" spans="1:11" x14ac:dyDescent="0.35">
      <c r="A37" t="s">
        <v>73</v>
      </c>
      <c r="B37" t="s">
        <v>58</v>
      </c>
      <c r="C37" t="s">
        <v>78</v>
      </c>
      <c r="D37" s="5">
        <v>45</v>
      </c>
      <c r="E37" s="5">
        <v>7</v>
      </c>
      <c r="F37" s="5">
        <f t="shared" si="0"/>
        <v>315</v>
      </c>
      <c r="G37" s="5" t="s">
        <v>19</v>
      </c>
      <c r="H37" s="5">
        <v>45</v>
      </c>
      <c r="I37" s="5">
        <v>6</v>
      </c>
      <c r="J37">
        <f t="shared" si="1"/>
        <v>270</v>
      </c>
      <c r="K37">
        <f t="shared" si="2"/>
        <v>585</v>
      </c>
    </row>
    <row r="38" spans="1:11" x14ac:dyDescent="0.35">
      <c r="A38" t="s">
        <v>73</v>
      </c>
      <c r="B38" t="s">
        <v>59</v>
      </c>
      <c r="C38" t="s">
        <v>78</v>
      </c>
      <c r="D38" s="5">
        <v>45</v>
      </c>
      <c r="E38" s="5">
        <v>7</v>
      </c>
      <c r="F38" s="5">
        <f t="shared" si="0"/>
        <v>315</v>
      </c>
      <c r="G38" s="5" t="s">
        <v>19</v>
      </c>
      <c r="H38" s="5">
        <v>45</v>
      </c>
      <c r="I38" s="5">
        <v>6</v>
      </c>
      <c r="J38">
        <f t="shared" si="1"/>
        <v>270</v>
      </c>
      <c r="K38">
        <f t="shared" si="2"/>
        <v>585</v>
      </c>
    </row>
    <row r="39" spans="1:11" x14ac:dyDescent="0.35">
      <c r="A39" t="s">
        <v>73</v>
      </c>
      <c r="B39" t="s">
        <v>60</v>
      </c>
      <c r="C39" t="s">
        <v>78</v>
      </c>
      <c r="D39" s="5">
        <v>45</v>
      </c>
      <c r="E39" s="5">
        <v>8</v>
      </c>
      <c r="F39" s="5">
        <f t="shared" si="0"/>
        <v>360</v>
      </c>
      <c r="G39" s="5" t="s">
        <v>19</v>
      </c>
      <c r="H39" s="5">
        <v>45</v>
      </c>
      <c r="I39" s="5">
        <v>9</v>
      </c>
      <c r="J39">
        <f t="shared" si="1"/>
        <v>405</v>
      </c>
      <c r="K39">
        <f t="shared" si="2"/>
        <v>765</v>
      </c>
    </row>
    <row r="40" spans="1:11" x14ac:dyDescent="0.35">
      <c r="A40" t="s">
        <v>73</v>
      </c>
      <c r="B40" t="s">
        <v>61</v>
      </c>
      <c r="C40" t="s">
        <v>78</v>
      </c>
      <c r="D40" s="5">
        <v>45</v>
      </c>
      <c r="E40" s="5">
        <v>8</v>
      </c>
      <c r="F40" s="5">
        <f t="shared" si="0"/>
        <v>360</v>
      </c>
      <c r="G40" s="5" t="s">
        <v>19</v>
      </c>
      <c r="H40" s="5">
        <v>45</v>
      </c>
      <c r="I40" s="5">
        <v>4</v>
      </c>
      <c r="J40">
        <f t="shared" si="1"/>
        <v>180</v>
      </c>
      <c r="K40">
        <f t="shared" si="2"/>
        <v>540</v>
      </c>
    </row>
    <row r="41" spans="1:11" x14ac:dyDescent="0.35">
      <c r="A41" t="s">
        <v>73</v>
      </c>
      <c r="B41" t="s">
        <v>62</v>
      </c>
      <c r="C41" t="s">
        <v>78</v>
      </c>
      <c r="D41" s="5">
        <v>45</v>
      </c>
      <c r="E41" s="5">
        <v>9</v>
      </c>
      <c r="F41" s="5">
        <f t="shared" si="0"/>
        <v>405</v>
      </c>
      <c r="G41" s="5" t="s">
        <v>19</v>
      </c>
      <c r="H41" s="5">
        <v>45</v>
      </c>
      <c r="I41" s="5">
        <v>4</v>
      </c>
      <c r="J41">
        <f t="shared" si="1"/>
        <v>180</v>
      </c>
      <c r="K41">
        <f t="shared" si="2"/>
        <v>585</v>
      </c>
    </row>
    <row r="42" spans="1:11" x14ac:dyDescent="0.35">
      <c r="A42" t="s">
        <v>74</v>
      </c>
      <c r="B42" t="s">
        <v>54</v>
      </c>
      <c r="C42" t="s">
        <v>78</v>
      </c>
      <c r="D42" s="5">
        <v>45</v>
      </c>
      <c r="E42" s="5">
        <v>9</v>
      </c>
      <c r="F42" s="5">
        <f t="shared" si="0"/>
        <v>405</v>
      </c>
      <c r="G42" s="5" t="s">
        <v>23</v>
      </c>
      <c r="H42" s="5">
        <v>75</v>
      </c>
      <c r="I42" s="5">
        <v>7</v>
      </c>
      <c r="J42">
        <f t="shared" si="1"/>
        <v>525</v>
      </c>
      <c r="K42">
        <f t="shared" si="2"/>
        <v>930</v>
      </c>
    </row>
    <row r="43" spans="1:11" x14ac:dyDescent="0.35">
      <c r="A43" t="s">
        <v>74</v>
      </c>
      <c r="B43" t="s">
        <v>53</v>
      </c>
      <c r="C43" t="s">
        <v>78</v>
      </c>
      <c r="D43" s="5">
        <v>45</v>
      </c>
      <c r="E43" s="5">
        <v>6</v>
      </c>
      <c r="F43" s="5">
        <f t="shared" si="0"/>
        <v>270</v>
      </c>
      <c r="G43" s="5" t="s">
        <v>23</v>
      </c>
      <c r="H43" s="5">
        <v>75</v>
      </c>
      <c r="I43" s="5">
        <v>7</v>
      </c>
      <c r="J43">
        <f t="shared" si="1"/>
        <v>525</v>
      </c>
      <c r="K43">
        <f t="shared" si="2"/>
        <v>795</v>
      </c>
    </row>
    <row r="44" spans="1:11" x14ac:dyDescent="0.35">
      <c r="A44" t="s">
        <v>74</v>
      </c>
      <c r="B44" t="s">
        <v>55</v>
      </c>
      <c r="C44" t="s">
        <v>78</v>
      </c>
      <c r="D44" s="5">
        <v>45</v>
      </c>
      <c r="E44" s="5">
        <v>7</v>
      </c>
      <c r="F44" s="5">
        <f t="shared" si="0"/>
        <v>315</v>
      </c>
      <c r="G44" s="5" t="s">
        <v>23</v>
      </c>
      <c r="H44" s="5">
        <v>75</v>
      </c>
      <c r="I44" s="5">
        <v>7</v>
      </c>
      <c r="J44">
        <f t="shared" si="1"/>
        <v>525</v>
      </c>
      <c r="K44">
        <f t="shared" si="2"/>
        <v>840</v>
      </c>
    </row>
    <row r="45" spans="1:11" x14ac:dyDescent="0.35">
      <c r="A45" t="s">
        <v>74</v>
      </c>
      <c r="B45" t="s">
        <v>56</v>
      </c>
      <c r="C45" t="s">
        <v>78</v>
      </c>
      <c r="D45" s="5">
        <v>45</v>
      </c>
      <c r="E45" s="5">
        <v>8</v>
      </c>
      <c r="F45" s="5">
        <f t="shared" si="0"/>
        <v>360</v>
      </c>
      <c r="G45" s="5" t="s">
        <v>23</v>
      </c>
      <c r="H45" s="5">
        <v>75</v>
      </c>
      <c r="I45" s="5">
        <v>7</v>
      </c>
      <c r="J45">
        <f t="shared" si="1"/>
        <v>525</v>
      </c>
      <c r="K45">
        <f t="shared" si="2"/>
        <v>885</v>
      </c>
    </row>
    <row r="46" spans="1:11" x14ac:dyDescent="0.35">
      <c r="A46" t="s">
        <v>74</v>
      </c>
      <c r="B46" t="s">
        <v>57</v>
      </c>
      <c r="C46" t="s">
        <v>78</v>
      </c>
      <c r="D46" s="5">
        <v>45</v>
      </c>
      <c r="E46" s="5">
        <v>9</v>
      </c>
      <c r="F46" s="5">
        <f t="shared" si="0"/>
        <v>405</v>
      </c>
      <c r="G46" s="5" t="s">
        <v>23</v>
      </c>
      <c r="H46" s="5">
        <v>75</v>
      </c>
      <c r="I46" s="5">
        <v>7</v>
      </c>
      <c r="J46">
        <f t="shared" si="1"/>
        <v>525</v>
      </c>
      <c r="K46">
        <f t="shared" si="2"/>
        <v>930</v>
      </c>
    </row>
    <row r="47" spans="1:11" x14ac:dyDescent="0.35">
      <c r="A47" t="s">
        <v>74</v>
      </c>
      <c r="B47" t="s">
        <v>58</v>
      </c>
      <c r="C47" t="s">
        <v>78</v>
      </c>
      <c r="D47" s="5">
        <v>45</v>
      </c>
      <c r="E47" s="5">
        <v>8</v>
      </c>
      <c r="F47" s="5">
        <f t="shared" si="0"/>
        <v>360</v>
      </c>
      <c r="G47" s="5" t="s">
        <v>23</v>
      </c>
      <c r="H47" s="5">
        <v>75</v>
      </c>
      <c r="I47" s="5">
        <v>7</v>
      </c>
      <c r="J47">
        <f t="shared" si="1"/>
        <v>525</v>
      </c>
      <c r="K47">
        <f t="shared" si="2"/>
        <v>885</v>
      </c>
    </row>
    <row r="48" spans="1:11" x14ac:dyDescent="0.35">
      <c r="A48" t="s">
        <v>74</v>
      </c>
      <c r="B48" t="s">
        <v>59</v>
      </c>
      <c r="C48" t="s">
        <v>78</v>
      </c>
      <c r="D48" s="5">
        <v>45</v>
      </c>
      <c r="E48" s="5">
        <v>7</v>
      </c>
      <c r="F48" s="5">
        <f t="shared" si="0"/>
        <v>315</v>
      </c>
      <c r="G48" s="5" t="s">
        <v>23</v>
      </c>
      <c r="H48" s="5">
        <v>75</v>
      </c>
      <c r="I48" s="5">
        <v>7</v>
      </c>
      <c r="J48">
        <f t="shared" si="1"/>
        <v>525</v>
      </c>
      <c r="K48">
        <f t="shared" si="2"/>
        <v>840</v>
      </c>
    </row>
    <row r="49" spans="1:11" x14ac:dyDescent="0.35">
      <c r="A49" t="s">
        <v>74</v>
      </c>
      <c r="B49" t="s">
        <v>60</v>
      </c>
      <c r="C49" t="s">
        <v>78</v>
      </c>
      <c r="D49" s="5">
        <v>45</v>
      </c>
      <c r="E49" s="5">
        <v>6</v>
      </c>
      <c r="F49" s="5">
        <f t="shared" si="0"/>
        <v>270</v>
      </c>
      <c r="G49" s="5" t="s">
        <v>23</v>
      </c>
      <c r="H49" s="5">
        <v>75</v>
      </c>
      <c r="I49" s="5">
        <v>7</v>
      </c>
      <c r="J49">
        <f t="shared" si="1"/>
        <v>525</v>
      </c>
      <c r="K49">
        <f t="shared" si="2"/>
        <v>795</v>
      </c>
    </row>
    <row r="50" spans="1:11" x14ac:dyDescent="0.35">
      <c r="A50" t="s">
        <v>74</v>
      </c>
      <c r="B50" t="s">
        <v>61</v>
      </c>
      <c r="C50" t="s">
        <v>78</v>
      </c>
      <c r="D50" s="5">
        <v>45</v>
      </c>
      <c r="E50" s="5">
        <v>6</v>
      </c>
      <c r="F50" s="5">
        <f t="shared" si="0"/>
        <v>270</v>
      </c>
      <c r="G50" s="5" t="s">
        <v>23</v>
      </c>
      <c r="H50" s="5">
        <v>75</v>
      </c>
      <c r="I50" s="5">
        <v>7</v>
      </c>
      <c r="J50">
        <f t="shared" si="1"/>
        <v>525</v>
      </c>
      <c r="K50">
        <f t="shared" si="2"/>
        <v>795</v>
      </c>
    </row>
    <row r="51" spans="1:11" x14ac:dyDescent="0.35">
      <c r="A51" t="s">
        <v>74</v>
      </c>
      <c r="B51" t="s">
        <v>62</v>
      </c>
      <c r="C51" t="s">
        <v>78</v>
      </c>
      <c r="D51" s="5">
        <v>45</v>
      </c>
      <c r="E51" s="5">
        <v>7</v>
      </c>
      <c r="F51" s="5">
        <f t="shared" si="0"/>
        <v>315</v>
      </c>
      <c r="G51" s="5" t="s">
        <v>23</v>
      </c>
      <c r="H51" s="5">
        <v>75</v>
      </c>
      <c r="I51" s="5">
        <v>7</v>
      </c>
      <c r="J51">
        <f t="shared" si="1"/>
        <v>525</v>
      </c>
      <c r="K51">
        <f t="shared" si="2"/>
        <v>840</v>
      </c>
    </row>
    <row r="52" spans="1:11" x14ac:dyDescent="0.35">
      <c r="A52" t="s">
        <v>75</v>
      </c>
      <c r="B52" t="s">
        <v>54</v>
      </c>
      <c r="C52" t="s">
        <v>78</v>
      </c>
      <c r="D52" s="5">
        <v>45</v>
      </c>
      <c r="E52" s="5">
        <v>7</v>
      </c>
      <c r="F52" s="5">
        <f t="shared" si="0"/>
        <v>315</v>
      </c>
      <c r="G52" s="5" t="s">
        <v>25</v>
      </c>
      <c r="H52" s="5">
        <v>60</v>
      </c>
      <c r="I52" s="5">
        <v>6</v>
      </c>
      <c r="J52">
        <f t="shared" si="1"/>
        <v>360</v>
      </c>
      <c r="K52">
        <f t="shared" si="2"/>
        <v>675</v>
      </c>
    </row>
    <row r="53" spans="1:11" x14ac:dyDescent="0.35">
      <c r="A53" t="s">
        <v>75</v>
      </c>
      <c r="B53" t="s">
        <v>53</v>
      </c>
      <c r="C53" t="s">
        <v>78</v>
      </c>
      <c r="D53" s="5">
        <v>45</v>
      </c>
      <c r="E53" s="5">
        <v>8</v>
      </c>
      <c r="F53" s="5">
        <f t="shared" si="0"/>
        <v>360</v>
      </c>
      <c r="G53" s="5" t="s">
        <v>25</v>
      </c>
      <c r="H53" s="5">
        <v>60</v>
      </c>
      <c r="I53" s="5">
        <v>6</v>
      </c>
      <c r="J53">
        <f t="shared" si="1"/>
        <v>360</v>
      </c>
      <c r="K53">
        <f t="shared" si="2"/>
        <v>720</v>
      </c>
    </row>
    <row r="54" spans="1:11" x14ac:dyDescent="0.35">
      <c r="A54" t="s">
        <v>75</v>
      </c>
      <c r="B54" t="s">
        <v>55</v>
      </c>
      <c r="C54" t="s">
        <v>78</v>
      </c>
      <c r="D54" s="5">
        <v>45</v>
      </c>
      <c r="E54" s="5">
        <v>8</v>
      </c>
      <c r="F54" s="5">
        <f t="shared" si="0"/>
        <v>360</v>
      </c>
      <c r="G54" s="5" t="s">
        <v>25</v>
      </c>
      <c r="H54" s="5">
        <v>60</v>
      </c>
      <c r="I54" s="5">
        <v>6</v>
      </c>
      <c r="J54">
        <f t="shared" si="1"/>
        <v>360</v>
      </c>
      <c r="K54">
        <f t="shared" si="2"/>
        <v>720</v>
      </c>
    </row>
    <row r="55" spans="1:11" x14ac:dyDescent="0.35">
      <c r="A55" t="s">
        <v>75</v>
      </c>
      <c r="B55" t="s">
        <v>56</v>
      </c>
      <c r="C55" t="s">
        <v>78</v>
      </c>
      <c r="D55" s="5">
        <v>45</v>
      </c>
      <c r="E55" s="5">
        <v>9</v>
      </c>
      <c r="F55" s="5">
        <f t="shared" si="0"/>
        <v>405</v>
      </c>
      <c r="G55" s="5" t="s">
        <v>25</v>
      </c>
      <c r="H55" s="5">
        <v>60</v>
      </c>
      <c r="I55" s="5">
        <v>6</v>
      </c>
      <c r="J55">
        <f t="shared" si="1"/>
        <v>360</v>
      </c>
      <c r="K55">
        <f t="shared" si="2"/>
        <v>765</v>
      </c>
    </row>
    <row r="56" spans="1:11" x14ac:dyDescent="0.35">
      <c r="A56" t="s">
        <v>75</v>
      </c>
      <c r="B56" t="s">
        <v>57</v>
      </c>
      <c r="C56" t="s">
        <v>78</v>
      </c>
      <c r="D56" s="5">
        <v>45</v>
      </c>
      <c r="E56" s="5">
        <v>9</v>
      </c>
      <c r="F56" s="5">
        <f t="shared" si="0"/>
        <v>405</v>
      </c>
      <c r="G56" s="5" t="s">
        <v>25</v>
      </c>
      <c r="H56" s="5">
        <v>60</v>
      </c>
      <c r="I56" s="5">
        <v>6</v>
      </c>
      <c r="J56">
        <f t="shared" si="1"/>
        <v>360</v>
      </c>
      <c r="K56">
        <f t="shared" si="2"/>
        <v>765</v>
      </c>
    </row>
    <row r="57" spans="1:11" x14ac:dyDescent="0.35">
      <c r="A57" t="s">
        <v>75</v>
      </c>
      <c r="B57" t="s">
        <v>58</v>
      </c>
      <c r="C57" t="s">
        <v>78</v>
      </c>
      <c r="D57" s="5">
        <v>45</v>
      </c>
      <c r="E57" s="5">
        <v>8</v>
      </c>
      <c r="F57" s="5">
        <f t="shared" si="0"/>
        <v>360</v>
      </c>
      <c r="G57" s="5" t="s">
        <v>25</v>
      </c>
      <c r="H57" s="5">
        <v>60</v>
      </c>
      <c r="I57" s="5">
        <v>6</v>
      </c>
      <c r="J57">
        <f t="shared" si="1"/>
        <v>360</v>
      </c>
      <c r="K57">
        <f t="shared" si="2"/>
        <v>720</v>
      </c>
    </row>
    <row r="58" spans="1:11" x14ac:dyDescent="0.35">
      <c r="A58" t="s">
        <v>75</v>
      </c>
      <c r="B58" t="s">
        <v>59</v>
      </c>
      <c r="C58" t="s">
        <v>78</v>
      </c>
      <c r="D58" s="5">
        <v>45</v>
      </c>
      <c r="E58" s="5">
        <v>7</v>
      </c>
      <c r="F58" s="5">
        <f t="shared" si="0"/>
        <v>315</v>
      </c>
      <c r="G58" s="5" t="s">
        <v>25</v>
      </c>
      <c r="H58" s="5">
        <v>60</v>
      </c>
      <c r="I58" s="5">
        <v>6</v>
      </c>
      <c r="J58">
        <f t="shared" si="1"/>
        <v>360</v>
      </c>
      <c r="K58">
        <f t="shared" si="2"/>
        <v>675</v>
      </c>
    </row>
    <row r="59" spans="1:11" x14ac:dyDescent="0.35">
      <c r="A59" t="s">
        <v>75</v>
      </c>
      <c r="B59" t="s">
        <v>60</v>
      </c>
      <c r="C59" t="s">
        <v>78</v>
      </c>
      <c r="D59" s="5">
        <v>45</v>
      </c>
      <c r="E59" s="5">
        <v>6</v>
      </c>
      <c r="F59" s="5">
        <f t="shared" si="0"/>
        <v>270</v>
      </c>
      <c r="G59" s="5" t="s">
        <v>25</v>
      </c>
      <c r="H59" s="5">
        <v>60</v>
      </c>
      <c r="I59" s="5">
        <v>6</v>
      </c>
      <c r="J59">
        <f t="shared" si="1"/>
        <v>360</v>
      </c>
      <c r="K59">
        <f t="shared" si="2"/>
        <v>630</v>
      </c>
    </row>
    <row r="60" spans="1:11" x14ac:dyDescent="0.35">
      <c r="A60" t="s">
        <v>75</v>
      </c>
      <c r="B60" t="s">
        <v>61</v>
      </c>
      <c r="C60" t="s">
        <v>78</v>
      </c>
      <c r="D60" s="5">
        <v>45</v>
      </c>
      <c r="E60" s="5">
        <v>9</v>
      </c>
      <c r="F60" s="5">
        <f t="shared" si="0"/>
        <v>405</v>
      </c>
      <c r="G60" s="5" t="s">
        <v>25</v>
      </c>
      <c r="H60" s="5">
        <v>60</v>
      </c>
      <c r="I60" s="5">
        <v>6</v>
      </c>
      <c r="J60">
        <f t="shared" si="1"/>
        <v>360</v>
      </c>
      <c r="K60">
        <f t="shared" si="2"/>
        <v>765</v>
      </c>
    </row>
    <row r="61" spans="1:11" x14ac:dyDescent="0.35">
      <c r="A61" t="s">
        <v>75</v>
      </c>
      <c r="B61" t="s">
        <v>62</v>
      </c>
      <c r="C61" t="s">
        <v>78</v>
      </c>
      <c r="D61" s="5">
        <v>45</v>
      </c>
      <c r="E61" s="5">
        <v>8</v>
      </c>
      <c r="F61" s="5">
        <f t="shared" si="0"/>
        <v>360</v>
      </c>
      <c r="G61" s="5" t="s">
        <v>25</v>
      </c>
      <c r="H61" s="5">
        <v>60</v>
      </c>
      <c r="I61" s="5">
        <v>6</v>
      </c>
      <c r="J61">
        <f t="shared" si="1"/>
        <v>360</v>
      </c>
      <c r="K61">
        <f t="shared" si="2"/>
        <v>720</v>
      </c>
    </row>
    <row r="62" spans="1:11" x14ac:dyDescent="0.35">
      <c r="A62" t="s">
        <v>76</v>
      </c>
      <c r="B62" t="s">
        <v>54</v>
      </c>
      <c r="C62" t="s">
        <v>78</v>
      </c>
      <c r="D62" s="5">
        <v>45</v>
      </c>
      <c r="E62" s="5">
        <v>7</v>
      </c>
      <c r="F62" s="5">
        <f t="shared" si="0"/>
        <v>315</v>
      </c>
      <c r="G62" s="5" t="s">
        <v>27</v>
      </c>
      <c r="H62" s="5">
        <v>30</v>
      </c>
      <c r="I62" s="5">
        <v>4</v>
      </c>
      <c r="J62">
        <f t="shared" si="1"/>
        <v>120</v>
      </c>
      <c r="K62">
        <f t="shared" si="2"/>
        <v>435</v>
      </c>
    </row>
    <row r="63" spans="1:11" x14ac:dyDescent="0.35">
      <c r="A63" t="s">
        <v>76</v>
      </c>
      <c r="B63" t="s">
        <v>53</v>
      </c>
      <c r="C63" t="s">
        <v>78</v>
      </c>
      <c r="D63" s="5">
        <v>45</v>
      </c>
      <c r="E63" s="5">
        <v>6</v>
      </c>
      <c r="F63" s="5">
        <f t="shared" si="0"/>
        <v>270</v>
      </c>
      <c r="G63" s="5" t="s">
        <v>27</v>
      </c>
      <c r="H63" s="5">
        <v>30</v>
      </c>
      <c r="I63" s="5">
        <v>4</v>
      </c>
      <c r="J63">
        <f t="shared" si="1"/>
        <v>120</v>
      </c>
      <c r="K63">
        <f t="shared" si="2"/>
        <v>390</v>
      </c>
    </row>
    <row r="64" spans="1:11" x14ac:dyDescent="0.35">
      <c r="A64" t="s">
        <v>76</v>
      </c>
      <c r="B64" t="s">
        <v>55</v>
      </c>
      <c r="C64" t="s">
        <v>78</v>
      </c>
      <c r="D64" s="5">
        <v>45</v>
      </c>
      <c r="E64" s="5">
        <v>9</v>
      </c>
      <c r="F64" s="5">
        <f t="shared" si="0"/>
        <v>405</v>
      </c>
      <c r="G64" s="5" t="s">
        <v>27</v>
      </c>
      <c r="H64" s="5">
        <v>30</v>
      </c>
      <c r="I64" s="5">
        <v>4</v>
      </c>
      <c r="J64">
        <f t="shared" si="1"/>
        <v>120</v>
      </c>
      <c r="K64">
        <f t="shared" si="2"/>
        <v>525</v>
      </c>
    </row>
    <row r="65" spans="1:11" x14ac:dyDescent="0.35">
      <c r="A65" t="s">
        <v>76</v>
      </c>
      <c r="B65" t="s">
        <v>56</v>
      </c>
      <c r="C65" t="s">
        <v>78</v>
      </c>
      <c r="D65" s="5">
        <v>45</v>
      </c>
      <c r="E65" s="5">
        <v>8</v>
      </c>
      <c r="F65" s="5">
        <f t="shared" si="0"/>
        <v>360</v>
      </c>
      <c r="G65" s="5" t="s">
        <v>27</v>
      </c>
      <c r="H65" s="5">
        <v>30</v>
      </c>
      <c r="I65" s="5">
        <v>4</v>
      </c>
      <c r="J65">
        <f t="shared" si="1"/>
        <v>120</v>
      </c>
      <c r="K65">
        <f t="shared" si="2"/>
        <v>480</v>
      </c>
    </row>
    <row r="66" spans="1:11" x14ac:dyDescent="0.35">
      <c r="A66" t="s">
        <v>76</v>
      </c>
      <c r="B66" t="s">
        <v>57</v>
      </c>
      <c r="C66" t="s">
        <v>78</v>
      </c>
      <c r="D66" s="5">
        <v>45</v>
      </c>
      <c r="E66" s="5">
        <v>7</v>
      </c>
      <c r="F66" s="5">
        <f t="shared" si="0"/>
        <v>315</v>
      </c>
      <c r="G66" s="5" t="s">
        <v>27</v>
      </c>
      <c r="H66" s="5">
        <v>30</v>
      </c>
      <c r="I66" s="5">
        <v>4</v>
      </c>
      <c r="J66">
        <f t="shared" si="1"/>
        <v>120</v>
      </c>
      <c r="K66">
        <f t="shared" si="2"/>
        <v>435</v>
      </c>
    </row>
    <row r="67" spans="1:11" x14ac:dyDescent="0.35">
      <c r="A67" t="s">
        <v>76</v>
      </c>
      <c r="B67" t="s">
        <v>58</v>
      </c>
      <c r="C67" t="s">
        <v>78</v>
      </c>
      <c r="D67" s="5">
        <v>45</v>
      </c>
      <c r="E67" s="5">
        <v>6</v>
      </c>
      <c r="F67" s="5">
        <f t="shared" ref="F67:F71" si="3">D67*E67</f>
        <v>270</v>
      </c>
      <c r="G67" s="5" t="s">
        <v>27</v>
      </c>
      <c r="H67" s="5">
        <v>30</v>
      </c>
      <c r="I67" s="5">
        <v>4</v>
      </c>
      <c r="J67">
        <f t="shared" ref="J67:J71" si="4">H67*I67</f>
        <v>120</v>
      </c>
      <c r="K67">
        <f t="shared" ref="K67:K71" si="5">SUM(F67,J67)</f>
        <v>390</v>
      </c>
    </row>
    <row r="68" spans="1:11" x14ac:dyDescent="0.35">
      <c r="A68" t="s">
        <v>76</v>
      </c>
      <c r="B68" t="s">
        <v>59</v>
      </c>
      <c r="C68" t="s">
        <v>78</v>
      </c>
      <c r="D68" s="5">
        <v>45</v>
      </c>
      <c r="E68" s="5">
        <v>6</v>
      </c>
      <c r="F68" s="5">
        <f t="shared" si="3"/>
        <v>270</v>
      </c>
      <c r="G68" s="5" t="s">
        <v>27</v>
      </c>
      <c r="H68" s="5">
        <v>30</v>
      </c>
      <c r="I68" s="5">
        <v>4</v>
      </c>
      <c r="J68">
        <f t="shared" si="4"/>
        <v>120</v>
      </c>
      <c r="K68">
        <f t="shared" si="5"/>
        <v>390</v>
      </c>
    </row>
    <row r="69" spans="1:11" x14ac:dyDescent="0.35">
      <c r="A69" t="s">
        <v>76</v>
      </c>
      <c r="B69" t="s">
        <v>60</v>
      </c>
      <c r="C69" t="s">
        <v>78</v>
      </c>
      <c r="D69" s="5">
        <v>45</v>
      </c>
      <c r="E69" s="5">
        <v>7</v>
      </c>
      <c r="F69" s="5">
        <f t="shared" si="3"/>
        <v>315</v>
      </c>
      <c r="G69" s="5" t="s">
        <v>27</v>
      </c>
      <c r="H69" s="5">
        <v>30</v>
      </c>
      <c r="I69" s="5">
        <v>4</v>
      </c>
      <c r="J69">
        <f t="shared" si="4"/>
        <v>120</v>
      </c>
      <c r="K69">
        <f t="shared" si="5"/>
        <v>435</v>
      </c>
    </row>
    <row r="70" spans="1:11" x14ac:dyDescent="0.35">
      <c r="A70" t="s">
        <v>76</v>
      </c>
      <c r="B70" t="s">
        <v>61</v>
      </c>
      <c r="C70" t="s">
        <v>78</v>
      </c>
      <c r="D70" s="5">
        <v>45</v>
      </c>
      <c r="E70" s="5">
        <v>7</v>
      </c>
      <c r="F70" s="5">
        <f t="shared" si="3"/>
        <v>315</v>
      </c>
      <c r="G70" s="5" t="s">
        <v>27</v>
      </c>
      <c r="H70" s="5">
        <v>30</v>
      </c>
      <c r="I70" s="5">
        <v>4</v>
      </c>
      <c r="J70">
        <f t="shared" si="4"/>
        <v>120</v>
      </c>
      <c r="K70">
        <f t="shared" si="5"/>
        <v>435</v>
      </c>
    </row>
    <row r="71" spans="1:11" x14ac:dyDescent="0.35">
      <c r="A71" t="s">
        <v>76</v>
      </c>
      <c r="B71" t="s">
        <v>62</v>
      </c>
      <c r="C71" t="s">
        <v>78</v>
      </c>
      <c r="D71" s="5">
        <v>45</v>
      </c>
      <c r="E71" s="5">
        <v>8</v>
      </c>
      <c r="F71" s="5">
        <f t="shared" si="3"/>
        <v>360</v>
      </c>
      <c r="G71" s="5" t="s">
        <v>27</v>
      </c>
      <c r="H71" s="5">
        <v>30</v>
      </c>
      <c r="I71" s="5">
        <v>4</v>
      </c>
      <c r="J71">
        <f t="shared" si="4"/>
        <v>120</v>
      </c>
      <c r="K71">
        <f t="shared" si="5"/>
        <v>480</v>
      </c>
    </row>
  </sheetData>
  <autoFilter ref="A1:K11" xr:uid="{0DE55DA1-B909-4228-BEA8-36BECC686DBF}"/>
  <phoneticPr fontId="15"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107"/>
  <sheetViews>
    <sheetView topLeftCell="A93" zoomScale="94" zoomScaleNormal="47" workbookViewId="0">
      <selection activeCell="D97" sqref="D97"/>
    </sheetView>
  </sheetViews>
  <sheetFormatPr defaultRowHeight="14.5" x14ac:dyDescent="0.35"/>
  <cols>
    <col min="1" max="1" width="15.90625" bestFit="1" customWidth="1"/>
    <col min="2" max="2" width="19.7265625" bestFit="1" customWidth="1"/>
    <col min="3" max="4" width="12.54296875" bestFit="1" customWidth="1"/>
    <col min="5" max="5" width="18.08984375" bestFit="1" customWidth="1"/>
    <col min="6" max="6" width="10.90625" customWidth="1"/>
    <col min="7" max="7" width="6" bestFit="1" customWidth="1"/>
    <col min="8" max="8" width="8.26953125" bestFit="1" customWidth="1"/>
    <col min="9" max="9" width="10.7265625" bestFit="1" customWidth="1"/>
    <col min="10" max="10" width="19.7265625" bestFit="1" customWidth="1"/>
    <col min="11" max="11" width="11.08984375" bestFit="1" customWidth="1"/>
    <col min="12" max="12" width="10.1796875" bestFit="1" customWidth="1"/>
  </cols>
  <sheetData>
    <row r="1" spans="1:7" ht="20" x14ac:dyDescent="0.4">
      <c r="A1" s="1" t="s">
        <v>0</v>
      </c>
    </row>
    <row r="3" spans="1:7" ht="33.75" customHeight="1" x14ac:dyDescent="0.35">
      <c r="A3" s="18" t="s">
        <v>1</v>
      </c>
      <c r="B3" s="18"/>
      <c r="C3" s="18"/>
      <c r="D3" s="18"/>
      <c r="E3" s="18"/>
      <c r="F3" s="18"/>
      <c r="G3" s="18"/>
    </row>
    <row r="5" spans="1:7" ht="15.5" x14ac:dyDescent="0.35">
      <c r="A5" s="2" t="s">
        <v>2</v>
      </c>
    </row>
    <row r="6" spans="1:7" ht="15.5" x14ac:dyDescent="0.35">
      <c r="A6" s="2"/>
    </row>
    <row r="7" spans="1:7" x14ac:dyDescent="0.35">
      <c r="A7" t="s">
        <v>3</v>
      </c>
    </row>
    <row r="8" spans="1:7" x14ac:dyDescent="0.35">
      <c r="A8" t="s">
        <v>4</v>
      </c>
    </row>
    <row r="9" spans="1:7" x14ac:dyDescent="0.35">
      <c r="A9" t="s">
        <v>5</v>
      </c>
    </row>
    <row r="11" spans="1:7" ht="21" customHeight="1" x14ac:dyDescent="0.35">
      <c r="A11" s="3" t="s">
        <v>6</v>
      </c>
      <c r="B11" s="3" t="s">
        <v>7</v>
      </c>
      <c r="C11" s="3" t="s">
        <v>8</v>
      </c>
      <c r="D11" s="3" t="s">
        <v>9</v>
      </c>
      <c r="E11" s="3" t="s">
        <v>10</v>
      </c>
      <c r="F11" s="4"/>
      <c r="G11" s="3" t="s">
        <v>11</v>
      </c>
    </row>
    <row r="12" spans="1:7" x14ac:dyDescent="0.35">
      <c r="A12" s="5" t="s">
        <v>12</v>
      </c>
      <c r="B12" s="5" t="s">
        <v>13</v>
      </c>
      <c r="C12" s="5">
        <v>6</v>
      </c>
      <c r="D12" s="5">
        <v>45</v>
      </c>
      <c r="E12" s="5">
        <f>C12*D12</f>
        <v>270</v>
      </c>
      <c r="G12" s="5">
        <f>SUM(E12:E13)</f>
        <v>720</v>
      </c>
    </row>
    <row r="13" spans="1:7" x14ac:dyDescent="0.35">
      <c r="A13" s="5"/>
      <c r="B13" s="5" t="s">
        <v>14</v>
      </c>
      <c r="C13" s="5">
        <v>7.5</v>
      </c>
      <c r="D13" s="5">
        <v>60</v>
      </c>
      <c r="E13" s="5">
        <f t="shared" ref="E13:E24" si="0">C13*D13</f>
        <v>450</v>
      </c>
      <c r="G13" s="5"/>
    </row>
    <row r="14" spans="1:7" x14ac:dyDescent="0.35">
      <c r="A14" s="5" t="s">
        <v>15</v>
      </c>
      <c r="B14" s="5" t="s">
        <v>16</v>
      </c>
      <c r="C14" s="5">
        <v>6</v>
      </c>
      <c r="D14" s="5">
        <v>45</v>
      </c>
      <c r="E14" s="5">
        <f t="shared" si="0"/>
        <v>270</v>
      </c>
      <c r="G14" s="5">
        <f t="shared" ref="G14:G22" si="1">SUM(E14:E15)</f>
        <v>645</v>
      </c>
    </row>
    <row r="15" spans="1:7" x14ac:dyDescent="0.35">
      <c r="A15" s="5"/>
      <c r="B15" s="5" t="s">
        <v>17</v>
      </c>
      <c r="C15" s="5">
        <v>5</v>
      </c>
      <c r="D15" s="5">
        <v>75</v>
      </c>
      <c r="E15" s="5">
        <f t="shared" si="0"/>
        <v>375</v>
      </c>
      <c r="G15" s="5"/>
    </row>
    <row r="16" spans="1:7" x14ac:dyDescent="0.35">
      <c r="A16" s="5" t="s">
        <v>18</v>
      </c>
      <c r="B16" s="5" t="s">
        <v>19</v>
      </c>
      <c r="C16" s="5">
        <v>4</v>
      </c>
      <c r="D16" s="5">
        <v>45</v>
      </c>
      <c r="E16" s="5">
        <f t="shared" si="0"/>
        <v>180</v>
      </c>
      <c r="G16" s="5">
        <f t="shared" si="1"/>
        <v>180</v>
      </c>
    </row>
    <row r="17" spans="1:7" x14ac:dyDescent="0.35">
      <c r="A17" s="5"/>
      <c r="B17" s="5" t="s">
        <v>20</v>
      </c>
      <c r="C17" s="5">
        <v>0</v>
      </c>
      <c r="D17" s="5">
        <v>0</v>
      </c>
      <c r="E17" s="5">
        <f t="shared" si="0"/>
        <v>0</v>
      </c>
      <c r="G17" s="5"/>
    </row>
    <row r="18" spans="1:7" x14ac:dyDescent="0.35">
      <c r="A18" s="5" t="s">
        <v>21</v>
      </c>
      <c r="B18" s="5" t="s">
        <v>22</v>
      </c>
      <c r="C18" s="5">
        <v>6</v>
      </c>
      <c r="D18" s="5">
        <v>45</v>
      </c>
      <c r="E18" s="5">
        <f t="shared" si="0"/>
        <v>270</v>
      </c>
      <c r="G18" s="5">
        <f t="shared" si="1"/>
        <v>795</v>
      </c>
    </row>
    <row r="19" spans="1:7" x14ac:dyDescent="0.35">
      <c r="A19" s="5"/>
      <c r="B19" s="5" t="s">
        <v>23</v>
      </c>
      <c r="C19" s="5">
        <v>7</v>
      </c>
      <c r="D19" s="5">
        <v>75</v>
      </c>
      <c r="E19" s="5">
        <f t="shared" si="0"/>
        <v>525</v>
      </c>
      <c r="G19" s="5"/>
    </row>
    <row r="20" spans="1:7" x14ac:dyDescent="0.35">
      <c r="A20" s="5" t="s">
        <v>24</v>
      </c>
      <c r="B20" s="5" t="s">
        <v>17</v>
      </c>
      <c r="C20" s="5">
        <v>5</v>
      </c>
      <c r="D20" s="5">
        <v>75</v>
      </c>
      <c r="E20" s="5">
        <f t="shared" si="0"/>
        <v>375</v>
      </c>
      <c r="G20" s="5">
        <f t="shared" si="1"/>
        <v>735</v>
      </c>
    </row>
    <row r="21" spans="1:7" x14ac:dyDescent="0.35">
      <c r="A21" s="5"/>
      <c r="B21" s="5" t="s">
        <v>25</v>
      </c>
      <c r="C21" s="5">
        <v>6</v>
      </c>
      <c r="D21" s="5">
        <v>60</v>
      </c>
      <c r="E21" s="5">
        <f t="shared" si="0"/>
        <v>360</v>
      </c>
      <c r="G21" s="5"/>
    </row>
    <row r="22" spans="1:7" x14ac:dyDescent="0.35">
      <c r="A22" s="5" t="s">
        <v>26</v>
      </c>
      <c r="B22" s="5" t="s">
        <v>19</v>
      </c>
      <c r="C22" s="5">
        <v>4</v>
      </c>
      <c r="D22" s="5">
        <v>45</v>
      </c>
      <c r="E22" s="5">
        <f t="shared" si="0"/>
        <v>180</v>
      </c>
      <c r="G22" s="5">
        <f t="shared" si="1"/>
        <v>300</v>
      </c>
    </row>
    <row r="23" spans="1:7" x14ac:dyDescent="0.35">
      <c r="A23" s="5"/>
      <c r="B23" s="5" t="s">
        <v>27</v>
      </c>
      <c r="C23" s="5">
        <v>4</v>
      </c>
      <c r="D23" s="5">
        <v>30</v>
      </c>
      <c r="E23" s="5">
        <f t="shared" si="0"/>
        <v>120</v>
      </c>
      <c r="G23" s="5"/>
    </row>
    <row r="24" spans="1:7" x14ac:dyDescent="0.35">
      <c r="A24" s="6" t="s">
        <v>28</v>
      </c>
      <c r="B24" s="6" t="s">
        <v>20</v>
      </c>
      <c r="C24" s="6">
        <v>0</v>
      </c>
      <c r="D24" s="6">
        <v>0</v>
      </c>
      <c r="E24" s="6">
        <f t="shared" si="0"/>
        <v>0</v>
      </c>
      <c r="F24" s="7"/>
      <c r="G24" s="6">
        <f>SUM(E24:E26)</f>
        <v>0</v>
      </c>
    </row>
    <row r="25" spans="1:7" ht="15" thickBot="1" x14ac:dyDescent="0.4">
      <c r="A25" s="5"/>
      <c r="B25" s="5"/>
      <c r="C25" s="5"/>
      <c r="D25" s="5"/>
      <c r="E25" s="5"/>
      <c r="G25" s="5"/>
    </row>
    <row r="26" spans="1:7" ht="19" thickBot="1" x14ac:dyDescent="0.5">
      <c r="E26" s="8" t="s">
        <v>29</v>
      </c>
      <c r="G26" s="9">
        <f>SUM(G12:G24)</f>
        <v>3375</v>
      </c>
    </row>
    <row r="27" spans="1:7" x14ac:dyDescent="0.35">
      <c r="A27" s="7"/>
      <c r="B27" s="7"/>
      <c r="C27" s="7"/>
      <c r="D27" s="7"/>
      <c r="E27" s="7"/>
      <c r="F27" s="7"/>
      <c r="G27" s="7"/>
    </row>
    <row r="29" spans="1:7" ht="15.5" x14ac:dyDescent="0.35">
      <c r="A29" s="2" t="s">
        <v>30</v>
      </c>
    </row>
    <row r="30" spans="1:7" ht="15.5" x14ac:dyDescent="0.35">
      <c r="A30" s="2"/>
    </row>
    <row r="31" spans="1:7" x14ac:dyDescent="0.35">
      <c r="A31" t="s">
        <v>31</v>
      </c>
    </row>
    <row r="32" spans="1:7" x14ac:dyDescent="0.35">
      <c r="A32" t="s">
        <v>32</v>
      </c>
    </row>
    <row r="34" spans="1:7" x14ac:dyDescent="0.35">
      <c r="A34" s="10" t="s">
        <v>33</v>
      </c>
      <c r="B34" s="10"/>
      <c r="C34" s="10"/>
      <c r="D34" s="10"/>
      <c r="E34" s="10"/>
      <c r="F34" s="10"/>
      <c r="G34" s="11">
        <f>G26/7</f>
        <v>482.14285714285717</v>
      </c>
    </row>
    <row r="35" spans="1:7" x14ac:dyDescent="0.35">
      <c r="A35" t="s">
        <v>34</v>
      </c>
      <c r="G35" s="12">
        <f>STDEV(G12:G24)</f>
        <v>316.71302918753253</v>
      </c>
    </row>
    <row r="36" spans="1:7" ht="15" thickBot="1" x14ac:dyDescent="0.4">
      <c r="G36" s="12"/>
    </row>
    <row r="37" spans="1:7" ht="19" thickBot="1" x14ac:dyDescent="0.5">
      <c r="A37" s="13" t="s">
        <v>35</v>
      </c>
      <c r="G37" s="14">
        <f>G34/G35</f>
        <v>1.5223335092329597</v>
      </c>
    </row>
    <row r="38" spans="1:7" ht="15.5" x14ac:dyDescent="0.35">
      <c r="A38" s="7"/>
      <c r="B38" s="7"/>
      <c r="C38" s="7"/>
      <c r="D38" s="7"/>
      <c r="E38" s="7"/>
      <c r="F38" s="7"/>
      <c r="G38" s="15"/>
    </row>
    <row r="40" spans="1:7" ht="15.5" x14ac:dyDescent="0.35">
      <c r="A40" s="2" t="s">
        <v>36</v>
      </c>
    </row>
    <row r="41" spans="1:7" x14ac:dyDescent="0.35">
      <c r="A41" s="16"/>
    </row>
    <row r="42" spans="1:7" x14ac:dyDescent="0.35">
      <c r="A42" t="s">
        <v>37</v>
      </c>
    </row>
    <row r="43" spans="1:7" x14ac:dyDescent="0.35">
      <c r="A43" t="s">
        <v>38</v>
      </c>
    </row>
    <row r="45" spans="1:7" ht="15" thickBot="1" x14ac:dyDescent="0.4">
      <c r="A45" s="10"/>
      <c r="B45" s="10"/>
      <c r="C45" s="10"/>
      <c r="D45" s="10"/>
      <c r="E45" s="10"/>
      <c r="F45" s="10"/>
      <c r="G45" s="10"/>
    </row>
    <row r="46" spans="1:7" ht="19" thickBot="1" x14ac:dyDescent="0.5">
      <c r="A46" t="s">
        <v>39</v>
      </c>
      <c r="G46" s="17">
        <f>G26*G37</f>
        <v>5137.8755936612388</v>
      </c>
    </row>
    <row r="47" spans="1:7" x14ac:dyDescent="0.35">
      <c r="A47" s="7"/>
      <c r="B47" s="7"/>
      <c r="C47" s="7"/>
      <c r="D47" s="7"/>
      <c r="E47" s="7"/>
      <c r="F47" s="7"/>
      <c r="G47" s="7"/>
    </row>
    <row r="51" spans="1:9" ht="16" thickBot="1" x14ac:dyDescent="0.4">
      <c r="A51" s="2" t="s">
        <v>40</v>
      </c>
      <c r="C51" t="s">
        <v>41</v>
      </c>
      <c r="D51" t="s">
        <v>42</v>
      </c>
      <c r="E51" t="s">
        <v>43</v>
      </c>
      <c r="F51" t="s">
        <v>44</v>
      </c>
      <c r="G51" t="s">
        <v>45</v>
      </c>
      <c r="H51" t="s">
        <v>46</v>
      </c>
      <c r="I51" t="s">
        <v>47</v>
      </c>
    </row>
    <row r="52" spans="1:9" ht="19" thickBot="1" x14ac:dyDescent="0.5">
      <c r="A52" t="s">
        <v>48</v>
      </c>
      <c r="B52" s="9">
        <f>SUM(G12:G24)</f>
        <v>3375</v>
      </c>
      <c r="C52">
        <v>120</v>
      </c>
      <c r="D52">
        <v>150</v>
      </c>
      <c r="E52">
        <v>200</v>
      </c>
      <c r="F52">
        <v>120</v>
      </c>
      <c r="G52">
        <v>120</v>
      </c>
      <c r="H52">
        <v>300</v>
      </c>
      <c r="I52">
        <v>200</v>
      </c>
    </row>
    <row r="53" spans="1:9" ht="19" thickBot="1" x14ac:dyDescent="0.5">
      <c r="A53" t="s">
        <v>49</v>
      </c>
      <c r="B53" s="9">
        <f>G26*0.6</f>
        <v>2025</v>
      </c>
      <c r="C53">
        <v>150</v>
      </c>
      <c r="D53">
        <v>100</v>
      </c>
      <c r="E53">
        <v>80</v>
      </c>
      <c r="F53">
        <v>100</v>
      </c>
      <c r="G53">
        <v>100</v>
      </c>
      <c r="H53">
        <v>120</v>
      </c>
    </row>
    <row r="54" spans="1:9" ht="19" thickBot="1" x14ac:dyDescent="0.5">
      <c r="A54" t="s">
        <v>50</v>
      </c>
      <c r="B54" s="9">
        <f>SUM(C52:I53)</f>
        <v>1860</v>
      </c>
    </row>
    <row r="56" spans="1:9" ht="15.5" x14ac:dyDescent="0.35">
      <c r="A56" s="2" t="s">
        <v>51</v>
      </c>
    </row>
    <row r="57" spans="1:9" x14ac:dyDescent="0.35">
      <c r="A57" t="s">
        <v>3</v>
      </c>
    </row>
    <row r="58" spans="1:9" x14ac:dyDescent="0.35">
      <c r="A58" t="s">
        <v>4</v>
      </c>
    </row>
    <row r="59" spans="1:9" x14ac:dyDescent="0.35">
      <c r="A59" t="s">
        <v>5</v>
      </c>
    </row>
    <row r="61" spans="1:9" x14ac:dyDescent="0.35">
      <c r="A61" s="3" t="s">
        <v>6</v>
      </c>
      <c r="B61" s="3" t="s">
        <v>7</v>
      </c>
      <c r="C61" s="3" t="s">
        <v>8</v>
      </c>
      <c r="D61" s="3" t="s">
        <v>9</v>
      </c>
      <c r="E61" s="3" t="s">
        <v>10</v>
      </c>
      <c r="F61" s="4"/>
      <c r="G61" s="3" t="s">
        <v>11</v>
      </c>
    </row>
    <row r="62" spans="1:9" x14ac:dyDescent="0.35">
      <c r="A62" s="5" t="s">
        <v>12</v>
      </c>
      <c r="B62" s="5" t="s">
        <v>13</v>
      </c>
      <c r="C62" s="5">
        <v>6</v>
      </c>
      <c r="D62" s="5">
        <v>30</v>
      </c>
      <c r="E62" s="5">
        <f>C62*D62</f>
        <v>180</v>
      </c>
      <c r="G62" s="5">
        <f>SUM(E62:E63)</f>
        <v>375</v>
      </c>
    </row>
    <row r="63" spans="1:9" x14ac:dyDescent="0.35">
      <c r="A63" s="5"/>
      <c r="B63" s="5" t="s">
        <v>14</v>
      </c>
      <c r="C63" s="5">
        <v>7.5</v>
      </c>
      <c r="D63" s="5">
        <v>26</v>
      </c>
      <c r="E63" s="5">
        <f t="shared" ref="E63:E74" si="2">C63*D63</f>
        <v>195</v>
      </c>
      <c r="G63" s="5"/>
    </row>
    <row r="64" spans="1:9" x14ac:dyDescent="0.35">
      <c r="A64" s="5" t="s">
        <v>15</v>
      </c>
      <c r="B64" s="5" t="s">
        <v>16</v>
      </c>
      <c r="C64" s="5">
        <v>6</v>
      </c>
      <c r="D64" s="5">
        <v>45</v>
      </c>
      <c r="E64" s="5">
        <f t="shared" si="2"/>
        <v>270</v>
      </c>
      <c r="G64" s="5">
        <f>SUM(E64:E65)</f>
        <v>645</v>
      </c>
    </row>
    <row r="65" spans="1:7" x14ac:dyDescent="0.35">
      <c r="A65" s="5"/>
      <c r="B65" s="5" t="s">
        <v>17</v>
      </c>
      <c r="C65" s="5">
        <v>5</v>
      </c>
      <c r="D65" s="5">
        <v>75</v>
      </c>
      <c r="E65" s="5">
        <f t="shared" si="2"/>
        <v>375</v>
      </c>
      <c r="G65" s="5"/>
    </row>
    <row r="66" spans="1:7" x14ac:dyDescent="0.35">
      <c r="A66" s="5" t="s">
        <v>18</v>
      </c>
      <c r="B66" s="5" t="s">
        <v>19</v>
      </c>
      <c r="C66" s="5">
        <v>4</v>
      </c>
      <c r="D66" s="5">
        <v>45</v>
      </c>
      <c r="E66" s="5">
        <f t="shared" si="2"/>
        <v>180</v>
      </c>
      <c r="G66" s="5">
        <f>SUM(E66:E67)</f>
        <v>180</v>
      </c>
    </row>
    <row r="67" spans="1:7" x14ac:dyDescent="0.35">
      <c r="A67" s="5"/>
      <c r="B67" s="5" t="s">
        <v>20</v>
      </c>
      <c r="C67" s="5">
        <v>0</v>
      </c>
      <c r="D67" s="5">
        <v>0</v>
      </c>
      <c r="E67" s="5">
        <f t="shared" si="2"/>
        <v>0</v>
      </c>
      <c r="G67" s="5"/>
    </row>
    <row r="68" spans="1:7" x14ac:dyDescent="0.35">
      <c r="A68" s="5" t="s">
        <v>21</v>
      </c>
      <c r="B68" s="5" t="s">
        <v>22</v>
      </c>
      <c r="C68" s="5">
        <v>6</v>
      </c>
      <c r="D68" s="5">
        <v>45</v>
      </c>
      <c r="E68" s="5">
        <f t="shared" si="2"/>
        <v>270</v>
      </c>
      <c r="G68" s="5">
        <f>SUM(E68:E69)</f>
        <v>795</v>
      </c>
    </row>
    <row r="69" spans="1:7" x14ac:dyDescent="0.35">
      <c r="A69" s="5"/>
      <c r="B69" s="5" t="s">
        <v>23</v>
      </c>
      <c r="C69" s="5">
        <v>7</v>
      </c>
      <c r="D69" s="5">
        <v>75</v>
      </c>
      <c r="E69" s="5">
        <f t="shared" si="2"/>
        <v>525</v>
      </c>
      <c r="G69" s="5"/>
    </row>
    <row r="70" spans="1:7" x14ac:dyDescent="0.35">
      <c r="A70" s="5" t="s">
        <v>24</v>
      </c>
      <c r="B70" s="5" t="s">
        <v>17</v>
      </c>
      <c r="C70" s="5">
        <v>5</v>
      </c>
      <c r="D70" s="5">
        <v>75</v>
      </c>
      <c r="E70" s="5">
        <f t="shared" si="2"/>
        <v>375</v>
      </c>
      <c r="G70" s="5">
        <f>SUM(E70:E71)</f>
        <v>735</v>
      </c>
    </row>
    <row r="71" spans="1:7" x14ac:dyDescent="0.35">
      <c r="A71" s="5"/>
      <c r="B71" s="5" t="s">
        <v>25</v>
      </c>
      <c r="C71" s="5">
        <v>6</v>
      </c>
      <c r="D71" s="5">
        <v>60</v>
      </c>
      <c r="E71" s="5">
        <f t="shared" si="2"/>
        <v>360</v>
      </c>
      <c r="G71" s="5"/>
    </row>
    <row r="72" spans="1:7" x14ac:dyDescent="0.35">
      <c r="A72" s="5" t="s">
        <v>26</v>
      </c>
      <c r="B72" s="5" t="s">
        <v>19</v>
      </c>
      <c r="C72" s="5">
        <v>4</v>
      </c>
      <c r="D72" s="5">
        <v>45</v>
      </c>
      <c r="E72" s="5">
        <f t="shared" si="2"/>
        <v>180</v>
      </c>
      <c r="G72" s="5">
        <f>SUM(E72:E73)</f>
        <v>300</v>
      </c>
    </row>
    <row r="73" spans="1:7" x14ac:dyDescent="0.35">
      <c r="A73" s="5"/>
      <c r="B73" s="5" t="s">
        <v>27</v>
      </c>
      <c r="C73" s="5">
        <v>4</v>
      </c>
      <c r="D73" s="5">
        <v>30</v>
      </c>
      <c r="E73" s="5">
        <f t="shared" si="2"/>
        <v>120</v>
      </c>
      <c r="G73" s="5"/>
    </row>
    <row r="74" spans="1:7" x14ac:dyDescent="0.35">
      <c r="A74" s="6" t="s">
        <v>28</v>
      </c>
      <c r="B74" s="6" t="s">
        <v>20</v>
      </c>
      <c r="C74" s="6">
        <v>0</v>
      </c>
      <c r="D74" s="6">
        <v>0</v>
      </c>
      <c r="E74" s="6">
        <f t="shared" si="2"/>
        <v>0</v>
      </c>
      <c r="F74" s="7"/>
      <c r="G74" s="6">
        <f>SUM(E74:E76)</f>
        <v>0</v>
      </c>
    </row>
    <row r="75" spans="1:7" ht="15" thickBot="1" x14ac:dyDescent="0.4">
      <c r="A75" s="5"/>
      <c r="B75" s="5"/>
      <c r="C75" s="5"/>
      <c r="D75" s="5"/>
      <c r="E75" s="5"/>
      <c r="G75" s="5"/>
    </row>
    <row r="76" spans="1:7" ht="19" thickBot="1" x14ac:dyDescent="0.5">
      <c r="E76" s="8" t="s">
        <v>29</v>
      </c>
      <c r="G76" s="9">
        <f>SUM(G62:G74)</f>
        <v>3030</v>
      </c>
    </row>
    <row r="81" spans="1:9" x14ac:dyDescent="0.35">
      <c r="A81" s="19" t="s">
        <v>81</v>
      </c>
      <c r="B81" s="19" t="s">
        <v>83</v>
      </c>
    </row>
    <row r="82" spans="1:9" x14ac:dyDescent="0.35">
      <c r="A82" s="19" t="s">
        <v>63</v>
      </c>
      <c r="B82" t="s">
        <v>70</v>
      </c>
      <c r="C82" t="s">
        <v>71</v>
      </c>
      <c r="D82" t="s">
        <v>72</v>
      </c>
      <c r="E82" t="s">
        <v>73</v>
      </c>
      <c r="F82" t="s">
        <v>74</v>
      </c>
      <c r="G82" t="s">
        <v>75</v>
      </c>
      <c r="H82" t="s">
        <v>76</v>
      </c>
      <c r="I82" t="s">
        <v>64</v>
      </c>
    </row>
    <row r="83" spans="1:9" x14ac:dyDescent="0.35">
      <c r="A83" s="20" t="s">
        <v>54</v>
      </c>
      <c r="B83" s="22">
        <v>405</v>
      </c>
      <c r="C83" s="22">
        <v>855</v>
      </c>
      <c r="D83" s="22">
        <v>645</v>
      </c>
      <c r="E83" s="22">
        <v>540</v>
      </c>
      <c r="F83" s="22">
        <v>930</v>
      </c>
      <c r="G83" s="22">
        <v>675</v>
      </c>
      <c r="H83" s="22">
        <v>435</v>
      </c>
      <c r="I83" s="22">
        <v>4485</v>
      </c>
    </row>
    <row r="84" spans="1:9" x14ac:dyDescent="0.35">
      <c r="A84" s="20" t="s">
        <v>53</v>
      </c>
      <c r="B84" s="22">
        <v>360</v>
      </c>
      <c r="C84" s="22">
        <v>810</v>
      </c>
      <c r="D84" s="22">
        <v>645</v>
      </c>
      <c r="E84" s="22">
        <v>495</v>
      </c>
      <c r="F84" s="22">
        <v>795</v>
      </c>
      <c r="G84" s="22">
        <v>720</v>
      </c>
      <c r="H84" s="22">
        <v>390</v>
      </c>
      <c r="I84" s="22">
        <v>4215</v>
      </c>
    </row>
    <row r="85" spans="1:9" x14ac:dyDescent="0.35">
      <c r="A85" s="20" t="s">
        <v>55</v>
      </c>
      <c r="B85" s="22">
        <v>315</v>
      </c>
      <c r="C85" s="22">
        <v>810</v>
      </c>
      <c r="D85" s="22">
        <v>780</v>
      </c>
      <c r="E85" s="22">
        <v>495</v>
      </c>
      <c r="F85" s="22">
        <v>840</v>
      </c>
      <c r="G85" s="22">
        <v>720</v>
      </c>
      <c r="H85" s="22">
        <v>525</v>
      </c>
      <c r="I85" s="22">
        <v>4485</v>
      </c>
    </row>
    <row r="86" spans="1:9" x14ac:dyDescent="0.35">
      <c r="A86" s="20" t="s">
        <v>56</v>
      </c>
      <c r="B86" s="22">
        <v>270</v>
      </c>
      <c r="C86" s="22">
        <v>765</v>
      </c>
      <c r="D86" s="22">
        <v>735</v>
      </c>
      <c r="E86" s="22">
        <v>450</v>
      </c>
      <c r="F86" s="22">
        <v>885</v>
      </c>
      <c r="G86" s="22">
        <v>765</v>
      </c>
      <c r="H86" s="22">
        <v>480</v>
      </c>
      <c r="I86" s="22">
        <v>4350</v>
      </c>
    </row>
    <row r="87" spans="1:9" x14ac:dyDescent="0.35">
      <c r="A87" s="20" t="s">
        <v>57</v>
      </c>
      <c r="B87" s="22">
        <v>405</v>
      </c>
      <c r="C87" s="22">
        <v>765</v>
      </c>
      <c r="D87" s="22">
        <v>690</v>
      </c>
      <c r="E87" s="22">
        <v>450</v>
      </c>
      <c r="F87" s="22">
        <v>930</v>
      </c>
      <c r="G87" s="22">
        <v>765</v>
      </c>
      <c r="H87" s="22">
        <v>435</v>
      </c>
      <c r="I87" s="22">
        <v>4440</v>
      </c>
    </row>
    <row r="88" spans="1:9" x14ac:dyDescent="0.35">
      <c r="A88" s="20" t="s">
        <v>58</v>
      </c>
      <c r="B88" s="22">
        <v>360</v>
      </c>
      <c r="C88" s="22">
        <v>720</v>
      </c>
      <c r="D88" s="22">
        <v>645</v>
      </c>
      <c r="E88" s="22">
        <v>495</v>
      </c>
      <c r="F88" s="22">
        <v>885</v>
      </c>
      <c r="G88" s="22">
        <v>720</v>
      </c>
      <c r="H88" s="22">
        <v>390</v>
      </c>
      <c r="I88" s="22">
        <v>4215</v>
      </c>
    </row>
    <row r="89" spans="1:9" x14ac:dyDescent="0.35">
      <c r="A89" s="20" t="s">
        <v>59</v>
      </c>
      <c r="B89" s="22">
        <v>315</v>
      </c>
      <c r="C89" s="22">
        <v>720</v>
      </c>
      <c r="D89" s="22">
        <v>645</v>
      </c>
      <c r="E89" s="22">
        <v>495</v>
      </c>
      <c r="F89" s="22">
        <v>840</v>
      </c>
      <c r="G89" s="22">
        <v>675</v>
      </c>
      <c r="H89" s="22">
        <v>390</v>
      </c>
      <c r="I89" s="22">
        <v>4080</v>
      </c>
    </row>
    <row r="90" spans="1:9" x14ac:dyDescent="0.35">
      <c r="A90" s="20" t="s">
        <v>60</v>
      </c>
      <c r="B90" s="22">
        <v>270</v>
      </c>
      <c r="C90" s="22">
        <v>855</v>
      </c>
      <c r="D90" s="22">
        <v>780</v>
      </c>
      <c r="E90" s="22">
        <v>540</v>
      </c>
      <c r="F90" s="22">
        <v>795</v>
      </c>
      <c r="G90" s="22">
        <v>630</v>
      </c>
      <c r="H90" s="22">
        <v>435</v>
      </c>
      <c r="I90" s="22">
        <v>4305</v>
      </c>
    </row>
    <row r="91" spans="1:9" x14ac:dyDescent="0.35">
      <c r="A91" s="20" t="s">
        <v>61</v>
      </c>
      <c r="B91" s="22">
        <v>270</v>
      </c>
      <c r="C91" s="22">
        <v>810</v>
      </c>
      <c r="D91" s="22">
        <v>780</v>
      </c>
      <c r="E91" s="22">
        <v>540</v>
      </c>
      <c r="F91" s="22">
        <v>795</v>
      </c>
      <c r="G91" s="22">
        <v>765</v>
      </c>
      <c r="H91" s="22">
        <v>435</v>
      </c>
      <c r="I91" s="22">
        <v>4395</v>
      </c>
    </row>
    <row r="92" spans="1:9" x14ac:dyDescent="0.35">
      <c r="A92" s="20" t="s">
        <v>62</v>
      </c>
      <c r="B92" s="22">
        <v>405</v>
      </c>
      <c r="C92" s="22">
        <v>765</v>
      </c>
      <c r="D92" s="22">
        <v>735</v>
      </c>
      <c r="E92" s="22">
        <v>585</v>
      </c>
      <c r="F92" s="22">
        <v>840</v>
      </c>
      <c r="G92" s="22">
        <v>720</v>
      </c>
      <c r="H92" s="22">
        <v>480</v>
      </c>
      <c r="I92" s="22">
        <v>4530</v>
      </c>
    </row>
    <row r="93" spans="1:9" x14ac:dyDescent="0.35">
      <c r="A93" s="20" t="s">
        <v>64</v>
      </c>
      <c r="B93" s="22">
        <v>3375</v>
      </c>
      <c r="C93" s="22">
        <v>7875</v>
      </c>
      <c r="D93" s="22">
        <v>7080</v>
      </c>
      <c r="E93" s="22">
        <v>5085</v>
      </c>
      <c r="F93" s="22">
        <v>8535</v>
      </c>
      <c r="G93" s="22">
        <v>7155</v>
      </c>
      <c r="H93" s="22">
        <v>4395</v>
      </c>
      <c r="I93" s="22">
        <v>43500</v>
      </c>
    </row>
    <row r="96" spans="1:9" x14ac:dyDescent="0.35">
      <c r="A96" s="34" t="s">
        <v>52</v>
      </c>
      <c r="B96" s="38" t="s">
        <v>90</v>
      </c>
      <c r="C96" s="38" t="s">
        <v>91</v>
      </c>
      <c r="D96" s="38" t="s">
        <v>92</v>
      </c>
      <c r="E96" s="38" t="s">
        <v>93</v>
      </c>
      <c r="F96" s="38" t="s">
        <v>64</v>
      </c>
    </row>
    <row r="97" spans="1:6" x14ac:dyDescent="0.35">
      <c r="A97" s="20" t="s">
        <v>54</v>
      </c>
      <c r="B97">
        <f>AVERAGE(B83:H83)</f>
        <v>640.71428571428567</v>
      </c>
      <c r="C97">
        <f>STDEV(B83:H83)</f>
        <v>199.50832420871927</v>
      </c>
      <c r="D97">
        <f>B97/C97</f>
        <v>3.2114664300622904</v>
      </c>
      <c r="E97">
        <f>GETPIVOTDATA("Daily Load",$A$81,"Athlete's names","A")*D97</f>
        <v>14403.426938829372</v>
      </c>
      <c r="F97">
        <f>GETPIVOTDATA("Daily Load",$A$81,"Athlete's names","A")</f>
        <v>4485</v>
      </c>
    </row>
    <row r="98" spans="1:6" x14ac:dyDescent="0.35">
      <c r="A98" s="20" t="s">
        <v>53</v>
      </c>
      <c r="B98">
        <f>AVERAGE(B84:H84)</f>
        <v>602.14285714285711</v>
      </c>
      <c r="C98">
        <f>STDEV(B84:H84)</f>
        <v>187.63566520558632</v>
      </c>
      <c r="D98">
        <f t="shared" ref="D98:D107" si="3">B98/C98</f>
        <v>3.2091066295051567</v>
      </c>
      <c r="E98">
        <f t="shared" ref="E98:E107" si="4">GETPIVOTDATA("Daily Load",$A$81,"Athlete's names","A")*D98</f>
        <v>14392.843233330628</v>
      </c>
      <c r="F98">
        <f>GETPIVOTDATA("Daily Load",$A$81,"Athlete's names","B")</f>
        <v>4215</v>
      </c>
    </row>
    <row r="99" spans="1:6" x14ac:dyDescent="0.35">
      <c r="A99" s="20" t="s">
        <v>55</v>
      </c>
      <c r="B99">
        <f>AVERAGE(B85:H85)</f>
        <v>640.71428571428567</v>
      </c>
      <c r="C99">
        <f>STDEV(B85:H85)</f>
        <v>197.80943210214079</v>
      </c>
      <c r="D99">
        <f t="shared" si="3"/>
        <v>3.239048203644034</v>
      </c>
      <c r="E99">
        <f t="shared" si="4"/>
        <v>14527.131193343492</v>
      </c>
      <c r="F99">
        <f>GETPIVOTDATA("Daily Load",$A$81,"Athlete's names","C")</f>
        <v>4485</v>
      </c>
    </row>
    <row r="100" spans="1:6" x14ac:dyDescent="0.35">
      <c r="A100" s="20" t="s">
        <v>56</v>
      </c>
      <c r="B100">
        <f>AVERAGE(B86:H86)</f>
        <v>621.42857142857144</v>
      </c>
      <c r="C100">
        <f>STDEV(B86:H86)</f>
        <v>222.29324261948602</v>
      </c>
      <c r="D100">
        <f t="shared" si="3"/>
        <v>2.7955351413552036</v>
      </c>
      <c r="E100">
        <f t="shared" si="4"/>
        <v>12537.975108978088</v>
      </c>
      <c r="F100">
        <f>GETPIVOTDATA("Daily Load",$A$81,"Athlete's names","D")</f>
        <v>4350</v>
      </c>
    </row>
    <row r="101" spans="1:6" x14ac:dyDescent="0.35">
      <c r="A101" s="20" t="s">
        <v>57</v>
      </c>
      <c r="B101">
        <f>AVERAGE(B87:H87)</f>
        <v>634.28571428571433</v>
      </c>
      <c r="C101">
        <f>STDEV(B87:H87)</f>
        <v>204.52034477912323</v>
      </c>
      <c r="D101">
        <f t="shared" si="3"/>
        <v>3.1013330970604747</v>
      </c>
      <c r="E101">
        <f t="shared" si="4"/>
        <v>13909.478940316229</v>
      </c>
      <c r="F101">
        <f>GETPIVOTDATA("Daily Load",$A$81,"Athlete's names","E")</f>
        <v>4440</v>
      </c>
    </row>
    <row r="102" spans="1:6" x14ac:dyDescent="0.35">
      <c r="A102" s="20" t="s">
        <v>58</v>
      </c>
      <c r="B102">
        <f>AVERAGE(B88:H88)</f>
        <v>602.14285714285711</v>
      </c>
      <c r="C102">
        <f>STDEV(B88:H88)</f>
        <v>193.53847900906652</v>
      </c>
      <c r="D102">
        <f t="shared" si="3"/>
        <v>3.1112306980290421</v>
      </c>
      <c r="E102">
        <f t="shared" si="4"/>
        <v>13953.869680660253</v>
      </c>
      <c r="F102">
        <f>GETPIVOTDATA("Daily Load",$A$81,"Athlete's names","F")</f>
        <v>4215</v>
      </c>
    </row>
    <row r="103" spans="1:6" x14ac:dyDescent="0.35">
      <c r="A103" s="20" t="s">
        <v>59</v>
      </c>
      <c r="B103">
        <f>AVERAGE(B89:H89)</f>
        <v>582.85714285714289</v>
      </c>
      <c r="C103">
        <f>STDEV(B89:H89)</f>
        <v>188.83099019266641</v>
      </c>
      <c r="D103">
        <f t="shared" si="3"/>
        <v>3.0866604166108917</v>
      </c>
      <c r="E103">
        <f t="shared" si="4"/>
        <v>13843.67196849985</v>
      </c>
      <c r="F103">
        <f>GETPIVOTDATA("Daily Load",$A$81,"Athlete's names","G")</f>
        <v>4080</v>
      </c>
    </row>
    <row r="104" spans="1:6" x14ac:dyDescent="0.35">
      <c r="A104" s="20" t="s">
        <v>60</v>
      </c>
      <c r="B104">
        <f>AVERAGE(B90:H90)</f>
        <v>615</v>
      </c>
      <c r="C104">
        <f>STDEV(B90:H90)</f>
        <v>213.89249636207438</v>
      </c>
      <c r="D104">
        <f t="shared" si="3"/>
        <v>2.8752761806049341</v>
      </c>
      <c r="E104">
        <f t="shared" si="4"/>
        <v>12895.61367001313</v>
      </c>
      <c r="F104">
        <f>GETPIVOTDATA("Daily Load",$A$81,"Athlete's names","H")</f>
        <v>4305</v>
      </c>
    </row>
    <row r="105" spans="1:6" x14ac:dyDescent="0.35">
      <c r="A105" s="20" t="s">
        <v>61</v>
      </c>
      <c r="B105">
        <f>AVERAGE(B91:H91)</f>
        <v>627.85714285714289</v>
      </c>
      <c r="C105">
        <f>STDEV(B91:H91)</f>
        <v>214.49275712047452</v>
      </c>
      <c r="D105">
        <f t="shared" si="3"/>
        <v>2.9271717669445279</v>
      </c>
      <c r="E105">
        <f t="shared" si="4"/>
        <v>13128.365374746207</v>
      </c>
      <c r="F105">
        <f>GETPIVOTDATA("Daily Load",$A$81,"Athlete's names","I")</f>
        <v>4395</v>
      </c>
    </row>
    <row r="106" spans="1:6" x14ac:dyDescent="0.35">
      <c r="A106" s="20" t="s">
        <v>62</v>
      </c>
      <c r="B106">
        <f>AVERAGE(B92:H92)</f>
        <v>647.14285714285711</v>
      </c>
      <c r="C106">
        <f>STDEV(B92:H92)</f>
        <v>160.49032013533676</v>
      </c>
      <c r="D106">
        <f t="shared" si="3"/>
        <v>4.0322859135500551</v>
      </c>
      <c r="E106">
        <f t="shared" si="4"/>
        <v>18084.802322271997</v>
      </c>
      <c r="F106">
        <f>GETPIVOTDATA("Daily Load",$A$81,"Athlete's names","J")</f>
        <v>4530</v>
      </c>
    </row>
    <row r="107" spans="1:6" x14ac:dyDescent="0.35">
      <c r="A107" s="34" t="s">
        <v>97</v>
      </c>
      <c r="B107" s="36">
        <f>AVERAGE(B93:H93)</f>
        <v>6214.2857142857147</v>
      </c>
      <c r="C107" s="36">
        <f>STDEV(B93:H93)</f>
        <v>1933.249485045468</v>
      </c>
      <c r="D107" s="36">
        <f t="shared" si="3"/>
        <v>3.2144251232735033</v>
      </c>
      <c r="E107" s="36">
        <f t="shared" si="4"/>
        <v>14416.696677881662</v>
      </c>
      <c r="F107" s="36">
        <f>GETPIVOTDATA("Daily Load",$A$81)</f>
        <v>43500</v>
      </c>
    </row>
  </sheetData>
  <mergeCells count="1">
    <mergeCell ref="A3:G3"/>
  </mergeCells>
  <pageMargins left="0.70866141732283472" right="0.70866141732283472" top="0.74803149606299213" bottom="0.74803149606299213" header="0.31496062992125984" footer="0.31496062992125984"/>
  <pageSetup paperSize="9" orientation="portrait" verticalDpi="1200" r:id="rId2"/>
  <headerFooter>
    <oddHeader>&amp;C&amp;10Advanced Certificate in Sports Conditioning</oddHeader>
    <oddFooter>&amp;C&amp;10School of Human Movement
Charles Sturt University</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D15127-0B84-43D9-B8A0-CC3E569C0C6F}">
  <dimension ref="A1:Q79"/>
  <sheetViews>
    <sheetView tabSelected="1" topLeftCell="A48" workbookViewId="0">
      <selection activeCell="C69" sqref="C69"/>
    </sheetView>
  </sheetViews>
  <sheetFormatPr defaultRowHeight="14.5" x14ac:dyDescent="0.35"/>
  <cols>
    <col min="1" max="1" width="14.1796875" style="24" bestFit="1" customWidth="1"/>
    <col min="2" max="2" width="10.7265625" style="24" bestFit="1" customWidth="1"/>
    <col min="3" max="3" width="15.7265625" style="24" bestFit="1" customWidth="1"/>
    <col min="4" max="4" width="16.6328125" style="24" bestFit="1" customWidth="1"/>
    <col min="5" max="16384" width="8.7265625" style="24"/>
  </cols>
  <sheetData>
    <row r="1" spans="1:17" ht="25" x14ac:dyDescent="0.35">
      <c r="A1" s="23" t="s">
        <v>0</v>
      </c>
      <c r="B1" s="23"/>
      <c r="C1" s="23"/>
      <c r="D1" s="23"/>
      <c r="E1" s="23"/>
      <c r="F1" s="23"/>
      <c r="G1" s="23"/>
      <c r="H1" s="23"/>
      <c r="I1" s="23"/>
      <c r="J1" s="23"/>
      <c r="K1" s="23"/>
      <c r="L1" s="23"/>
      <c r="M1" s="23"/>
      <c r="N1" s="23"/>
      <c r="O1" s="23"/>
      <c r="P1" s="23"/>
      <c r="Q1" s="23"/>
    </row>
    <row r="2" spans="1:17" ht="15.5" x14ac:dyDescent="0.35">
      <c r="A2" s="25" t="s">
        <v>2</v>
      </c>
      <c r="B2" s="26"/>
      <c r="C2" s="26"/>
      <c r="D2" s="26"/>
      <c r="E2" s="26"/>
      <c r="F2" s="26"/>
      <c r="G2" s="26"/>
      <c r="H2" s="27"/>
      <c r="I2" s="27"/>
      <c r="J2" s="27"/>
      <c r="K2" s="27"/>
      <c r="L2" s="27"/>
      <c r="M2" s="27"/>
      <c r="N2" s="27"/>
      <c r="O2" s="27"/>
      <c r="P2" s="27"/>
      <c r="Q2" s="27"/>
    </row>
    <row r="3" spans="1:17" ht="15.5" x14ac:dyDescent="0.35">
      <c r="A3" s="25"/>
      <c r="B3" s="26"/>
      <c r="C3" s="26"/>
      <c r="D3" s="26"/>
      <c r="E3" s="26"/>
      <c r="F3" s="26"/>
      <c r="G3" s="26"/>
      <c r="H3" s="27"/>
      <c r="I3" s="27"/>
      <c r="J3" s="27"/>
      <c r="K3" s="27"/>
      <c r="L3" s="27"/>
      <c r="M3" s="27"/>
      <c r="N3" s="27"/>
      <c r="O3" s="27"/>
      <c r="P3" s="27"/>
      <c r="Q3" s="27"/>
    </row>
    <row r="4" spans="1:17" ht="15.5" x14ac:dyDescent="0.35">
      <c r="A4" s="26" t="s">
        <v>3</v>
      </c>
      <c r="B4" s="26"/>
      <c r="C4" s="26"/>
      <c r="D4" s="26"/>
      <c r="E4" s="26"/>
      <c r="F4" s="26"/>
      <c r="G4" s="26"/>
      <c r="H4" s="27"/>
      <c r="I4" s="27"/>
      <c r="J4" s="27"/>
      <c r="K4" s="27"/>
      <c r="L4" s="27"/>
      <c r="M4" s="27"/>
      <c r="N4" s="27"/>
      <c r="O4" s="27"/>
      <c r="P4" s="27"/>
      <c r="Q4" s="27"/>
    </row>
    <row r="5" spans="1:17" ht="15.5" x14ac:dyDescent="0.35">
      <c r="A5" s="26" t="s">
        <v>4</v>
      </c>
      <c r="B5" s="26"/>
      <c r="C5" s="26"/>
      <c r="D5" s="26"/>
      <c r="E5" s="26"/>
      <c r="F5" s="26"/>
      <c r="G5" s="26"/>
      <c r="H5" s="27"/>
      <c r="I5" s="27"/>
      <c r="J5" s="27"/>
      <c r="K5" s="27"/>
      <c r="L5" s="27"/>
      <c r="M5" s="27"/>
      <c r="N5" s="27"/>
      <c r="O5" s="27"/>
      <c r="P5" s="27"/>
      <c r="Q5" s="27"/>
    </row>
    <row r="6" spans="1:17" x14ac:dyDescent="0.35">
      <c r="A6" s="26" t="s">
        <v>5</v>
      </c>
      <c r="B6" s="26"/>
      <c r="C6" s="26"/>
      <c r="D6" s="26"/>
      <c r="E6" s="26"/>
      <c r="F6" s="26"/>
      <c r="G6" s="26"/>
      <c r="H6" s="28"/>
      <c r="I6" s="28"/>
      <c r="J6" s="28"/>
      <c r="K6" s="28"/>
      <c r="L6" s="28"/>
      <c r="M6" s="28"/>
      <c r="N6" s="28"/>
      <c r="O6" s="28"/>
      <c r="P6" s="28"/>
      <c r="Q6" s="28"/>
    </row>
    <row r="7" spans="1:17" x14ac:dyDescent="0.35">
      <c r="A7" s="37" t="s">
        <v>65</v>
      </c>
      <c r="B7" s="37" t="s">
        <v>84</v>
      </c>
    </row>
    <row r="9" spans="1:17" x14ac:dyDescent="0.35">
      <c r="A9" s="36" t="s">
        <v>88</v>
      </c>
      <c r="B9" s="36" t="s">
        <v>80</v>
      </c>
      <c r="C9" s="36" t="s">
        <v>87</v>
      </c>
      <c r="D9" s="36" t="s">
        <v>86</v>
      </c>
    </row>
    <row r="10" spans="1:17" x14ac:dyDescent="0.35">
      <c r="A10" s="29" t="s">
        <v>54</v>
      </c>
      <c r="B10" s="30">
        <v>33.5</v>
      </c>
      <c r="C10" s="30">
        <v>55</v>
      </c>
      <c r="D10" s="30">
        <v>4485</v>
      </c>
    </row>
    <row r="11" spans="1:17" x14ac:dyDescent="0.35">
      <c r="A11" s="29" t="s">
        <v>53</v>
      </c>
      <c r="B11" s="30">
        <v>33.5</v>
      </c>
      <c r="C11" s="30">
        <v>49</v>
      </c>
      <c r="D11" s="30">
        <v>4215</v>
      </c>
    </row>
    <row r="12" spans="1:17" x14ac:dyDescent="0.35">
      <c r="A12" s="29" t="s">
        <v>55</v>
      </c>
      <c r="B12" s="30">
        <v>33.5</v>
      </c>
      <c r="C12" s="30">
        <v>55</v>
      </c>
      <c r="D12" s="30">
        <v>4485</v>
      </c>
    </row>
    <row r="13" spans="1:17" x14ac:dyDescent="0.35">
      <c r="A13" s="29" t="s">
        <v>56</v>
      </c>
      <c r="B13" s="30">
        <v>33.5</v>
      </c>
      <c r="C13" s="30">
        <v>52</v>
      </c>
      <c r="D13" s="30">
        <v>4350</v>
      </c>
    </row>
    <row r="14" spans="1:17" x14ac:dyDescent="0.35">
      <c r="A14" s="29" t="s">
        <v>57</v>
      </c>
      <c r="B14" s="30">
        <v>33.5</v>
      </c>
      <c r="C14" s="30">
        <v>54</v>
      </c>
      <c r="D14" s="30">
        <v>4440</v>
      </c>
    </row>
    <row r="15" spans="1:17" x14ac:dyDescent="0.35">
      <c r="A15" s="29" t="s">
        <v>58</v>
      </c>
      <c r="B15" s="30">
        <v>33.5</v>
      </c>
      <c r="C15" s="30">
        <v>49</v>
      </c>
      <c r="D15" s="30">
        <v>4215</v>
      </c>
    </row>
    <row r="16" spans="1:17" x14ac:dyDescent="0.35">
      <c r="A16" s="29" t="s">
        <v>59</v>
      </c>
      <c r="B16" s="30">
        <v>33.5</v>
      </c>
      <c r="C16" s="30">
        <v>46</v>
      </c>
      <c r="D16" s="30">
        <v>4080</v>
      </c>
    </row>
    <row r="17" spans="1:4" x14ac:dyDescent="0.35">
      <c r="A17" s="29" t="s">
        <v>60</v>
      </c>
      <c r="B17" s="30">
        <v>33.5</v>
      </c>
      <c r="C17" s="30">
        <v>51</v>
      </c>
      <c r="D17" s="30">
        <v>4305</v>
      </c>
    </row>
    <row r="18" spans="1:4" x14ac:dyDescent="0.35">
      <c r="A18" s="29" t="s">
        <v>61</v>
      </c>
      <c r="B18" s="30">
        <v>33.5</v>
      </c>
      <c r="C18" s="30">
        <v>53</v>
      </c>
      <c r="D18" s="30">
        <v>4395</v>
      </c>
    </row>
    <row r="19" spans="1:4" x14ac:dyDescent="0.35">
      <c r="A19" s="29" t="s">
        <v>62</v>
      </c>
      <c r="B19" s="30">
        <v>33.5</v>
      </c>
      <c r="C19" s="30">
        <v>56</v>
      </c>
      <c r="D19" s="30">
        <v>4530</v>
      </c>
    </row>
    <row r="20" spans="1:4" x14ac:dyDescent="0.35">
      <c r="A20" s="34" t="s">
        <v>64</v>
      </c>
      <c r="B20" s="35">
        <v>335</v>
      </c>
      <c r="C20" s="35">
        <v>520</v>
      </c>
      <c r="D20" s="35">
        <v>43500</v>
      </c>
    </row>
    <row r="23" spans="1:4" x14ac:dyDescent="0.35">
      <c r="A23" s="36" t="s">
        <v>52</v>
      </c>
      <c r="B23" s="36" t="s">
        <v>84</v>
      </c>
    </row>
    <row r="25" spans="1:4" x14ac:dyDescent="0.35">
      <c r="A25" s="36" t="s">
        <v>63</v>
      </c>
      <c r="B25" s="36" t="s">
        <v>82</v>
      </c>
      <c r="C25" s="36" t="s">
        <v>81</v>
      </c>
    </row>
    <row r="26" spans="1:4" x14ac:dyDescent="0.35">
      <c r="A26" s="29" t="s">
        <v>70</v>
      </c>
      <c r="B26" s="30">
        <v>75</v>
      </c>
      <c r="C26" s="30">
        <v>3375</v>
      </c>
    </row>
    <row r="27" spans="1:4" x14ac:dyDescent="0.35">
      <c r="A27" s="29" t="s">
        <v>71</v>
      </c>
      <c r="B27" s="30">
        <v>75</v>
      </c>
      <c r="C27" s="30">
        <v>7875</v>
      </c>
    </row>
    <row r="28" spans="1:4" x14ac:dyDescent="0.35">
      <c r="A28" s="29" t="s">
        <v>72</v>
      </c>
      <c r="B28" s="30">
        <v>74</v>
      </c>
      <c r="C28" s="30">
        <v>7080</v>
      </c>
    </row>
    <row r="29" spans="1:4" x14ac:dyDescent="0.35">
      <c r="A29" s="29" t="s">
        <v>73</v>
      </c>
      <c r="B29" s="30">
        <v>73</v>
      </c>
      <c r="C29" s="30">
        <v>5085</v>
      </c>
    </row>
    <row r="30" spans="1:4" x14ac:dyDescent="0.35">
      <c r="A30" s="29" t="s">
        <v>74</v>
      </c>
      <c r="B30" s="30">
        <v>73</v>
      </c>
      <c r="C30" s="30">
        <v>8535</v>
      </c>
    </row>
    <row r="31" spans="1:4" x14ac:dyDescent="0.35">
      <c r="A31" s="29" t="s">
        <v>75</v>
      </c>
      <c r="B31" s="30">
        <v>79</v>
      </c>
      <c r="C31" s="30">
        <v>7155</v>
      </c>
    </row>
    <row r="32" spans="1:4" x14ac:dyDescent="0.35">
      <c r="A32" s="29" t="s">
        <v>76</v>
      </c>
      <c r="B32" s="30">
        <v>71</v>
      </c>
      <c r="C32" s="30">
        <v>4395</v>
      </c>
    </row>
    <row r="33" spans="1:4" x14ac:dyDescent="0.35">
      <c r="A33" s="34" t="s">
        <v>64</v>
      </c>
      <c r="B33" s="35">
        <v>520</v>
      </c>
      <c r="C33" s="35">
        <v>43500</v>
      </c>
    </row>
    <row r="35" spans="1:4" x14ac:dyDescent="0.35">
      <c r="A35" s="31" t="s">
        <v>89</v>
      </c>
      <c r="B35" s="26"/>
      <c r="C35" s="26"/>
    </row>
    <row r="36" spans="1:4" x14ac:dyDescent="0.35">
      <c r="A36" s="26"/>
      <c r="B36" s="26"/>
      <c r="C36" s="26"/>
    </row>
    <row r="37" spans="1:4" x14ac:dyDescent="0.35">
      <c r="A37" s="32" t="s">
        <v>3</v>
      </c>
      <c r="B37" s="32"/>
      <c r="C37" s="32"/>
    </row>
    <row r="38" spans="1:4" x14ac:dyDescent="0.35">
      <c r="A38" s="26" t="s">
        <v>4</v>
      </c>
      <c r="B38" s="26"/>
      <c r="C38" s="26"/>
    </row>
    <row r="39" spans="1:4" x14ac:dyDescent="0.35">
      <c r="A39" s="26" t="s">
        <v>5</v>
      </c>
      <c r="B39" s="26"/>
      <c r="C39" s="26"/>
    </row>
    <row r="40" spans="1:4" ht="15.5" x14ac:dyDescent="0.35">
      <c r="A40" s="28"/>
      <c r="B40" s="33"/>
      <c r="C40" s="33"/>
    </row>
    <row r="41" spans="1:4" ht="15.5" x14ac:dyDescent="0.35">
      <c r="A41" s="25" t="s">
        <v>30</v>
      </c>
      <c r="B41" s="26"/>
      <c r="C41" s="26"/>
    </row>
    <row r="42" spans="1:4" ht="15.5" x14ac:dyDescent="0.35">
      <c r="A42" s="25"/>
      <c r="B42" s="26"/>
      <c r="C42" s="26"/>
    </row>
    <row r="43" spans="1:4" x14ac:dyDescent="0.35">
      <c r="A43" s="26" t="s">
        <v>31</v>
      </c>
      <c r="B43" s="26"/>
      <c r="C43" s="26"/>
    </row>
    <row r="44" spans="1:4" x14ac:dyDescent="0.35">
      <c r="A44" s="26" t="s">
        <v>32</v>
      </c>
      <c r="B44" s="26"/>
      <c r="C44" s="26"/>
    </row>
    <row r="47" spans="1:4" x14ac:dyDescent="0.35">
      <c r="A47" s="36" t="s">
        <v>63</v>
      </c>
      <c r="B47" s="36" t="s">
        <v>94</v>
      </c>
      <c r="C47" s="36" t="s">
        <v>95</v>
      </c>
      <c r="D47" s="36" t="s">
        <v>96</v>
      </c>
    </row>
    <row r="48" spans="1:4" x14ac:dyDescent="0.35">
      <c r="A48" s="29" t="s">
        <v>54</v>
      </c>
      <c r="B48" s="30">
        <v>640.71428571428567</v>
      </c>
      <c r="C48" s="30">
        <v>199.50832420871927</v>
      </c>
      <c r="D48" s="30">
        <v>3.2114664300622904</v>
      </c>
    </row>
    <row r="49" spans="1:4" x14ac:dyDescent="0.35">
      <c r="A49" s="29" t="s">
        <v>53</v>
      </c>
      <c r="B49" s="30">
        <v>602.14285714285711</v>
      </c>
      <c r="C49" s="30">
        <v>187.63566520558632</v>
      </c>
      <c r="D49" s="30">
        <v>3.2091066295051567</v>
      </c>
    </row>
    <row r="50" spans="1:4" x14ac:dyDescent="0.35">
      <c r="A50" s="29" t="s">
        <v>55</v>
      </c>
      <c r="B50" s="30">
        <v>640.71428571428567</v>
      </c>
      <c r="C50" s="30">
        <v>197.80943210214079</v>
      </c>
      <c r="D50" s="30">
        <v>3.239048203644034</v>
      </c>
    </row>
    <row r="51" spans="1:4" x14ac:dyDescent="0.35">
      <c r="A51" s="29" t="s">
        <v>56</v>
      </c>
      <c r="B51" s="30">
        <v>621.42857142857144</v>
      </c>
      <c r="C51" s="30">
        <v>222.29324261948602</v>
      </c>
      <c r="D51" s="30">
        <v>2.7955351413552036</v>
      </c>
    </row>
    <row r="52" spans="1:4" x14ac:dyDescent="0.35">
      <c r="A52" s="29" t="s">
        <v>57</v>
      </c>
      <c r="B52" s="30">
        <v>634.28571428571433</v>
      </c>
      <c r="C52" s="30">
        <v>204.52034477912323</v>
      </c>
      <c r="D52" s="30">
        <v>3.1013330970604747</v>
      </c>
    </row>
    <row r="53" spans="1:4" x14ac:dyDescent="0.35">
      <c r="A53" s="29" t="s">
        <v>58</v>
      </c>
      <c r="B53" s="30">
        <v>602.14285714285711</v>
      </c>
      <c r="C53" s="30">
        <v>193.53847900906652</v>
      </c>
      <c r="D53" s="30">
        <v>3.1112306980290421</v>
      </c>
    </row>
    <row r="54" spans="1:4" x14ac:dyDescent="0.35">
      <c r="A54" s="29" t="s">
        <v>59</v>
      </c>
      <c r="B54" s="30">
        <v>582.85714285714289</v>
      </c>
      <c r="C54" s="30">
        <v>188.83099019266641</v>
      </c>
      <c r="D54" s="30">
        <v>3.0866604166108917</v>
      </c>
    </row>
    <row r="55" spans="1:4" x14ac:dyDescent="0.35">
      <c r="A55" s="29" t="s">
        <v>60</v>
      </c>
      <c r="B55" s="30">
        <v>615</v>
      </c>
      <c r="C55" s="30">
        <v>213.89249636207438</v>
      </c>
      <c r="D55" s="30">
        <v>2.8752761806049341</v>
      </c>
    </row>
    <row r="56" spans="1:4" x14ac:dyDescent="0.35">
      <c r="A56" s="29" t="s">
        <v>61</v>
      </c>
      <c r="B56" s="30">
        <v>627.85714285714289</v>
      </c>
      <c r="C56" s="30">
        <v>214.49275712047452</v>
      </c>
      <c r="D56" s="30">
        <v>2.9271717669445279</v>
      </c>
    </row>
    <row r="57" spans="1:4" x14ac:dyDescent="0.35">
      <c r="A57" s="29" t="s">
        <v>62</v>
      </c>
      <c r="B57" s="30">
        <v>647.14285714285711</v>
      </c>
      <c r="C57" s="30">
        <v>160.49032013533676</v>
      </c>
      <c r="D57" s="30">
        <v>4.0322859135500551</v>
      </c>
    </row>
    <row r="58" spans="1:4" x14ac:dyDescent="0.35">
      <c r="A58" s="29" t="s">
        <v>97</v>
      </c>
      <c r="B58" s="30">
        <v>6214.2857142857147</v>
      </c>
      <c r="C58" s="30">
        <v>1933.249485045468</v>
      </c>
      <c r="D58" s="30">
        <v>3.2144251232735033</v>
      </c>
    </row>
    <row r="59" spans="1:4" x14ac:dyDescent="0.35">
      <c r="A59" s="34" t="s">
        <v>64</v>
      </c>
      <c r="B59" s="35">
        <v>12428.571428571429</v>
      </c>
      <c r="C59" s="35">
        <v>3916.2615367801423</v>
      </c>
      <c r="D59" s="35">
        <v>34.803539600640114</v>
      </c>
    </row>
    <row r="62" spans="1:4" ht="15.5" x14ac:dyDescent="0.35">
      <c r="A62" s="25" t="s">
        <v>36</v>
      </c>
      <c r="B62" s="26"/>
    </row>
    <row r="63" spans="1:4" x14ac:dyDescent="0.35">
      <c r="A63" s="31"/>
      <c r="B63" s="26"/>
    </row>
    <row r="64" spans="1:4" x14ac:dyDescent="0.35">
      <c r="A64" s="26" t="s">
        <v>37</v>
      </c>
      <c r="B64" s="26"/>
    </row>
    <row r="65" spans="1:4" x14ac:dyDescent="0.35">
      <c r="A65" s="26" t="s">
        <v>38</v>
      </c>
      <c r="B65" s="26"/>
    </row>
    <row r="68" spans="1:4" x14ac:dyDescent="0.35">
      <c r="A68" s="36" t="s">
        <v>63</v>
      </c>
      <c r="B68" s="36" t="s">
        <v>98</v>
      </c>
      <c r="C68" s="36" t="s">
        <v>96</v>
      </c>
      <c r="D68" s="36" t="s">
        <v>99</v>
      </c>
    </row>
    <row r="69" spans="1:4" x14ac:dyDescent="0.35">
      <c r="A69" s="29" t="s">
        <v>54</v>
      </c>
      <c r="B69" s="30">
        <v>4485</v>
      </c>
      <c r="C69" s="30">
        <v>3.2114664300622904</v>
      </c>
      <c r="D69" s="30">
        <v>14403.426938829372</v>
      </c>
    </row>
    <row r="70" spans="1:4" x14ac:dyDescent="0.35">
      <c r="A70" s="29" t="s">
        <v>53</v>
      </c>
      <c r="B70" s="30">
        <v>4215</v>
      </c>
      <c r="C70" s="30">
        <v>3.2091066295051567</v>
      </c>
      <c r="D70" s="30">
        <v>14392.843233330628</v>
      </c>
    </row>
    <row r="71" spans="1:4" x14ac:dyDescent="0.35">
      <c r="A71" s="29" t="s">
        <v>55</v>
      </c>
      <c r="B71" s="30">
        <v>4485</v>
      </c>
      <c r="C71" s="30">
        <v>3.239048203644034</v>
      </c>
      <c r="D71" s="30">
        <v>14527.131193343492</v>
      </c>
    </row>
    <row r="72" spans="1:4" x14ac:dyDescent="0.35">
      <c r="A72" s="29" t="s">
        <v>56</v>
      </c>
      <c r="B72" s="30">
        <v>4350</v>
      </c>
      <c r="C72" s="30">
        <v>2.7955351413552036</v>
      </c>
      <c r="D72" s="30">
        <v>12537.975108978088</v>
      </c>
    </row>
    <row r="73" spans="1:4" x14ac:dyDescent="0.35">
      <c r="A73" s="29" t="s">
        <v>57</v>
      </c>
      <c r="B73" s="30">
        <v>4440</v>
      </c>
      <c r="C73" s="30">
        <v>3.1013330970604747</v>
      </c>
      <c r="D73" s="30">
        <v>13909.478940316229</v>
      </c>
    </row>
    <row r="74" spans="1:4" x14ac:dyDescent="0.35">
      <c r="A74" s="29" t="s">
        <v>58</v>
      </c>
      <c r="B74" s="30">
        <v>4215</v>
      </c>
      <c r="C74" s="30">
        <v>3.1112306980290421</v>
      </c>
      <c r="D74" s="30">
        <v>13953.869680660253</v>
      </c>
    </row>
    <row r="75" spans="1:4" x14ac:dyDescent="0.35">
      <c r="A75" s="29" t="s">
        <v>59</v>
      </c>
      <c r="B75" s="30">
        <v>4080</v>
      </c>
      <c r="C75" s="30">
        <v>3.0866604166108917</v>
      </c>
      <c r="D75" s="30">
        <v>13843.67196849985</v>
      </c>
    </row>
    <row r="76" spans="1:4" x14ac:dyDescent="0.35">
      <c r="A76" s="29" t="s">
        <v>60</v>
      </c>
      <c r="B76" s="30">
        <v>4305</v>
      </c>
      <c r="C76" s="30">
        <v>2.8752761806049341</v>
      </c>
      <c r="D76" s="30">
        <v>12895.61367001313</v>
      </c>
    </row>
    <row r="77" spans="1:4" x14ac:dyDescent="0.35">
      <c r="A77" s="29" t="s">
        <v>61</v>
      </c>
      <c r="B77" s="30">
        <v>4395</v>
      </c>
      <c r="C77" s="30">
        <v>2.9271717669445279</v>
      </c>
      <c r="D77" s="30">
        <v>13128.365374746207</v>
      </c>
    </row>
    <row r="78" spans="1:4" x14ac:dyDescent="0.35">
      <c r="A78" s="29" t="s">
        <v>62</v>
      </c>
      <c r="B78" s="30">
        <v>4530</v>
      </c>
      <c r="C78" s="30">
        <v>4.0322859135500551</v>
      </c>
      <c r="D78" s="30">
        <v>18084.802322271997</v>
      </c>
    </row>
    <row r="79" spans="1:4" x14ac:dyDescent="0.35">
      <c r="A79" s="34" t="s">
        <v>64</v>
      </c>
      <c r="B79" s="35">
        <v>43500</v>
      </c>
      <c r="C79" s="35">
        <v>31.589114477366611</v>
      </c>
      <c r="D79" s="35">
        <v>141677.17843098927</v>
      </c>
    </row>
  </sheetData>
  <mergeCells count="1">
    <mergeCell ref="A1:Q1"/>
  </mergeCells>
  <pageMargins left="0.7" right="0.7" top="0.75" bottom="0.75" header="0.3" footer="0.3"/>
  <drawing r:id="rId5"/>
  <extLst>
    <ext xmlns:x14="http://schemas.microsoft.com/office/spreadsheetml/2009/9/main" uri="{A8765BA9-456A-4dab-B4F3-ACF838C121DE}">
      <x14:slicerList>
        <x14:slicer r:id="rId6"/>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Athlete's names</vt:lpstr>
      <vt:lpstr>Input</vt:lpstr>
      <vt:lpstr>Load, Monotony, and Strain</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iwan</dc:creator>
  <cp:lastModifiedBy>JULI YANDI RAHMAN</cp:lastModifiedBy>
  <dcterms:created xsi:type="dcterms:W3CDTF">2012-03-27T00:02:26Z</dcterms:created>
  <dcterms:modified xsi:type="dcterms:W3CDTF">2023-04-05T00:02:05Z</dcterms:modified>
</cp:coreProperties>
</file>